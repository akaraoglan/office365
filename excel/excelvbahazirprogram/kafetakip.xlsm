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BuÇalışmaKitabı"/>
  <bookViews>
    <workbookView xWindow="0" yWindow="0" windowWidth="28800" windowHeight="12600"/>
  </bookViews>
  <sheets>
    <sheet name="Masalar" sheetId="1" r:id="rId1"/>
    <sheet name="Rapor" sheetId="4" r:id="rId2"/>
    <sheet name="Liste" sheetId="3" r:id="rId3"/>
    <sheet name="Fiyatlar" sheetId="2" r:id="rId4"/>
  </sheets>
  <definedNames>
    <definedName name="_xlnm._FilterDatabase" localSheetId="2" hidden="1">Liste!$A:$I</definedName>
    <definedName name="_xlnm._FilterDatabase" localSheetId="0" hidden="1">Masalar!$M$12:$U$12</definedName>
    <definedName name="Dilimleyici_TARİH">#N/A</definedName>
    <definedName name="Kriter">Masalar!$W$1:$AE$2</definedName>
    <definedName name="MasaListesi">Liste!$A:$I</definedName>
    <definedName name="_xlnm.Criteria" localSheetId="0">Masalar!$W$1:$AE$2</definedName>
  </definedNames>
  <calcPr calcId="152511"/>
  <pivotCaches>
    <pivotCache cacheId="8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15" i="3" l="1"/>
  <c r="H14" i="3"/>
  <c r="H13" i="3"/>
  <c r="H12" i="3"/>
  <c r="H11" i="3" l="1"/>
  <c r="H10" i="3"/>
  <c r="H9" i="3"/>
  <c r="H8" i="3"/>
  <c r="H7" i="3" l="1"/>
  <c r="H6" i="3"/>
  <c r="H5" i="3"/>
  <c r="H4" i="3"/>
  <c r="H3" i="3"/>
  <c r="P9" i="1"/>
  <c r="H2" i="3" l="1"/>
  <c r="H15" i="1" l="1"/>
  <c r="H12" i="1"/>
  <c r="H9" i="1"/>
  <c r="H6" i="1"/>
  <c r="H3" i="1"/>
  <c r="F15" i="1"/>
  <c r="F12" i="1"/>
  <c r="F9" i="1"/>
  <c r="F6" i="1"/>
  <c r="F3" i="1"/>
  <c r="D15" i="1"/>
  <c r="D12" i="1"/>
  <c r="D9" i="1"/>
  <c r="D6" i="1"/>
  <c r="D3" i="1"/>
  <c r="B6" i="1"/>
  <c r="B9" i="1"/>
  <c r="B12" i="1"/>
  <c r="B15" i="1"/>
  <c r="B3" i="1"/>
  <c r="X5" i="1" l="1"/>
  <c r="X4" i="1"/>
  <c r="N6" i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" i="2"/>
  <c r="N7" i="1"/>
  <c r="N3" i="1"/>
</calcChain>
</file>

<file path=xl/sharedStrings.xml><?xml version="1.0" encoding="utf-8"?>
<sst xmlns="http://schemas.openxmlformats.org/spreadsheetml/2006/main" count="141" uniqueCount="63">
  <si>
    <t>Masa 10</t>
  </si>
  <si>
    <t>Masa 11</t>
  </si>
  <si>
    <t>Masa 12</t>
  </si>
  <si>
    <t>Masa 13</t>
  </si>
  <si>
    <t>Masa 14</t>
  </si>
  <si>
    <t>Masa 15</t>
  </si>
  <si>
    <t>Masa 16</t>
  </si>
  <si>
    <t>Masa 17</t>
  </si>
  <si>
    <t>Masa 18</t>
  </si>
  <si>
    <t>Masa 19</t>
  </si>
  <si>
    <t>Masa 20</t>
  </si>
  <si>
    <t>Tarih :</t>
  </si>
  <si>
    <t xml:space="preserve">Ürün : </t>
  </si>
  <si>
    <t xml:space="preserve">Adet : </t>
  </si>
  <si>
    <t xml:space="preserve">Fiyat : </t>
  </si>
  <si>
    <t xml:space="preserve">Tutar : </t>
  </si>
  <si>
    <t>Masa :</t>
  </si>
  <si>
    <t>Masa 01</t>
  </si>
  <si>
    <t>Masa 02</t>
  </si>
  <si>
    <t>Masa 03</t>
  </si>
  <si>
    <t>Masa 04</t>
  </si>
  <si>
    <t>Masa 05</t>
  </si>
  <si>
    <t>Masa 06</t>
  </si>
  <si>
    <t>Masa 07</t>
  </si>
  <si>
    <t>Masa 08</t>
  </si>
  <si>
    <t>Masa 09</t>
  </si>
  <si>
    <t>ÜRÜN</t>
  </si>
  <si>
    <t>MALİYETİ</t>
  </si>
  <si>
    <t>KAR</t>
  </si>
  <si>
    <t>SATIŞ FİYATI</t>
  </si>
  <si>
    <t>KAHVALTI TABAĞI</t>
  </si>
  <si>
    <t>KAŞARLI TOST</t>
  </si>
  <si>
    <t>SUCUKLU TOST</t>
  </si>
  <si>
    <t>KARIŞIK TOST</t>
  </si>
  <si>
    <t>ÇAY</t>
  </si>
  <si>
    <t>BİTKİ ÇAYI</t>
  </si>
  <si>
    <t>MASA NO</t>
  </si>
  <si>
    <t>TARİH</t>
  </si>
  <si>
    <t>ADET</t>
  </si>
  <si>
    <t>TUTARI</t>
  </si>
  <si>
    <t>SATIR</t>
  </si>
  <si>
    <t>DURUMU</t>
  </si>
  <si>
    <t>maliyet</t>
  </si>
  <si>
    <t>kar</t>
  </si>
  <si>
    <t>DOLU</t>
  </si>
  <si>
    <t>GELENEKSEL TÜRK KAHVESİ</t>
  </si>
  <si>
    <t>FİLTRE KAHVE</t>
  </si>
  <si>
    <t>LİMONATA</t>
  </si>
  <si>
    <t>SU</t>
  </si>
  <si>
    <t>KARIŞIK MENEMEN</t>
  </si>
  <si>
    <t>TON BALIKLI SANDVİC</t>
  </si>
  <si>
    <t>TİRAMİSU</t>
  </si>
  <si>
    <t>MARLENKA</t>
  </si>
  <si>
    <t>PATSO TABAĞI</t>
  </si>
  <si>
    <t>Toplam Hesap :</t>
  </si>
  <si>
    <t>BOŞ</t>
  </si>
  <si>
    <t>Satır Etiketleri</t>
  </si>
  <si>
    <t>(boş)</t>
  </si>
  <si>
    <t>Genel Toplam</t>
  </si>
  <si>
    <t>Toplam ADET</t>
  </si>
  <si>
    <t>Toplam TUTARI</t>
  </si>
  <si>
    <t>Toplam MALİYETİ</t>
  </si>
  <si>
    <t>Toplam KAR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</si>
</sst>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\ &quot;ADET&quot;"/>
    <numFmt numFmtId="165" formatCode="#,##0.00\ &quot;₺&quot;"/>
    <numFmt numFmtId="166" formatCode="0&quot; &quot;&quot;ADET&quot;"/>
    <numFmt numFmtId="167" formatCode="#,##0.00&quot; &quot;[$₺-41F]"/>
  </numFmts>
  <fonts count="14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1"/>
      <color theme="0"/>
      <name val="Trebuchet MS"/>
      <family val="2"/>
      <charset val="162"/>
      <scheme val="minor"/>
    </font>
    <font>
      <sz val="11"/>
      <color theme="0"/>
      <name val="Trebuchet MS"/>
      <family val="2"/>
      <charset val="162"/>
      <scheme val="minor"/>
    </font>
    <font>
      <b/>
      <sz val="12"/>
      <color theme="1"/>
      <name val="Trebuchet MS"/>
      <family val="2"/>
      <charset val="162"/>
      <scheme val="minor"/>
    </font>
    <font>
      <b/>
      <sz val="11"/>
      <color rgb="FF0070C0"/>
      <name val="Trebuchet MS"/>
      <family val="2"/>
      <charset val="162"/>
      <scheme val="minor"/>
    </font>
    <font>
      <sz val="11"/>
      <color rgb="FF3F3F76"/>
      <name val="Trebuchet MS"/>
      <family val="2"/>
      <charset val="162"/>
      <scheme val="minor"/>
    </font>
    <font>
      <b/>
      <sz val="10"/>
      <color theme="0"/>
      <name val="Trebuchet MS"/>
      <family val="2"/>
      <charset val="162"/>
      <scheme val="minor"/>
    </font>
    <font>
      <sz val="10"/>
      <color theme="1"/>
      <name val="Trebuchet MS"/>
      <family val="2"/>
      <charset val="162"/>
      <scheme val="minor"/>
    </font>
    <font>
      <sz val="10"/>
      <color rgb="FF3F3F76"/>
      <name val="Trebuchet MS"/>
      <family val="2"/>
      <charset val="162"/>
      <scheme val="minor"/>
    </font>
    <font>
      <b/>
      <sz val="9"/>
      <color theme="0"/>
      <name val="Trebuchet MS"/>
      <family val="2"/>
      <charset val="162"/>
      <scheme val="minor"/>
    </font>
    <font>
      <sz val="9"/>
      <color theme="1"/>
      <name val="Trebuchet MS"/>
      <family val="2"/>
      <charset val="162"/>
      <scheme val="minor"/>
    </font>
    <font>
      <sz val="11"/>
      <color theme="5" tint="0.59999389629810485"/>
      <name val="Trebuchet MS"/>
      <family val="2"/>
      <scheme val="minor"/>
    </font>
    <font>
      <b/>
      <sz val="12"/>
      <color theme="5" tint="0.59999389629810485"/>
      <name val="Trebuchet MS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rgb="FFFF0000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6" tint="0.39994506668294322"/>
      </left>
      <right style="medium">
        <color theme="6" tint="0.39994506668294322"/>
      </right>
      <top style="medium">
        <color theme="6" tint="0.39994506668294322"/>
      </top>
      <bottom/>
      <diagonal/>
    </border>
    <border>
      <left style="medium">
        <color theme="6" tint="0.39994506668294322"/>
      </left>
      <right style="medium">
        <color theme="6" tint="0.39994506668294322"/>
      </right>
      <top/>
      <bottom style="medium">
        <color theme="6" tint="0.39994506668294322"/>
      </bottom>
      <diagonal/>
    </border>
    <border>
      <left style="thick">
        <color theme="3" tint="0.39994506668294322"/>
      </left>
      <right/>
      <top style="thick">
        <color theme="3" tint="0.39994506668294322"/>
      </top>
      <bottom/>
      <diagonal/>
    </border>
    <border>
      <left/>
      <right/>
      <top style="thick">
        <color theme="3" tint="0.39994506668294322"/>
      </top>
      <bottom/>
      <diagonal/>
    </border>
    <border>
      <left style="thick">
        <color theme="3" tint="0.39994506668294322"/>
      </left>
      <right/>
      <top/>
      <bottom/>
      <diagonal/>
    </border>
    <border>
      <left style="thick">
        <color theme="3" tint="0.39994506668294322"/>
      </left>
      <right/>
      <top/>
      <bottom style="thick">
        <color theme="3" tint="0.3999450666829432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theme="3" tint="0.39991454817346722"/>
      </right>
      <top style="thick">
        <color theme="3" tint="0.39994506668294322"/>
      </top>
      <bottom/>
      <diagonal/>
    </border>
    <border>
      <left/>
      <right style="thick">
        <color theme="3" tint="0.39991454817346722"/>
      </right>
      <top/>
      <bottom/>
      <diagonal/>
    </border>
    <border>
      <left/>
      <right style="thick">
        <color theme="3" tint="0.39991454817346722"/>
      </right>
      <top/>
      <bottom style="thick">
        <color theme="3" tint="0.39994506668294322"/>
      </bottom>
      <diagonal/>
    </border>
    <border>
      <left style="thin">
        <color rgb="FFB2B2B2"/>
      </left>
      <right/>
      <top/>
      <bottom/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3" fillId="3" borderId="0" applyNumberFormat="0" applyBorder="0" applyAlignment="0" applyProtection="0"/>
    <xf numFmtId="0" fontId="6" fillId="8" borderId="9" applyNumberFormat="0" applyAlignment="0" applyProtection="0"/>
  </cellStyleXfs>
  <cellXfs count="57">
    <xf numFmtId="0" fontId="0" fillId="0" borderId="0" xfId="0"/>
    <xf numFmtId="0" fontId="0" fillId="0" borderId="0" xfId="0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7" fillId="3" borderId="9" xfId="2" applyFont="1" applyBorder="1"/>
    <xf numFmtId="14" fontId="7" fillId="3" borderId="9" xfId="2" applyNumberFormat="1" applyFont="1" applyBorder="1"/>
    <xf numFmtId="164" fontId="7" fillId="3" borderId="9" xfId="2" applyNumberFormat="1" applyFont="1" applyBorder="1"/>
    <xf numFmtId="165" fontId="7" fillId="3" borderId="9" xfId="2" applyNumberFormat="1" applyFont="1" applyBorder="1"/>
    <xf numFmtId="0" fontId="8" fillId="0" borderId="0" xfId="0" applyFont="1"/>
    <xf numFmtId="0" fontId="9" fillId="8" borderId="9" xfId="3" applyFont="1"/>
    <xf numFmtId="14" fontId="9" fillId="8" borderId="9" xfId="3" applyNumberFormat="1" applyFont="1"/>
    <xf numFmtId="164" fontId="9" fillId="8" borderId="9" xfId="3" applyNumberFormat="1" applyFont="1"/>
    <xf numFmtId="165" fontId="9" fillId="8" borderId="9" xfId="3" applyNumberFormat="1" applyFont="1"/>
    <xf numFmtId="0" fontId="9" fillId="8" borderId="9" xfId="3" applyFont="1" applyAlignment="1">
      <alignment vertical="center"/>
    </xf>
    <xf numFmtId="14" fontId="9" fillId="8" borderId="9" xfId="3" applyNumberFormat="1" applyFont="1" applyAlignment="1">
      <alignment vertical="center"/>
    </xf>
    <xf numFmtId="164" fontId="9" fillId="8" borderId="9" xfId="3" applyNumberFormat="1" applyFont="1" applyAlignment="1">
      <alignment vertical="center"/>
    </xf>
    <xf numFmtId="165" fontId="9" fillId="8" borderId="9" xfId="3" applyNumberFormat="1" applyFont="1" applyAlignment="1">
      <alignment vertical="center"/>
    </xf>
    <xf numFmtId="0" fontId="10" fillId="3" borderId="1" xfId="2" applyFont="1" applyBorder="1" applyAlignment="1">
      <alignment horizontal="center"/>
    </xf>
    <xf numFmtId="165" fontId="10" fillId="3" borderId="1" xfId="2" applyNumberFormat="1" applyFont="1" applyBorder="1" applyAlignment="1">
      <alignment horizontal="center"/>
    </xf>
    <xf numFmtId="0" fontId="11" fillId="0" borderId="0" xfId="0" applyFont="1"/>
    <xf numFmtId="0" fontId="11" fillId="2" borderId="1" xfId="1" applyFont="1"/>
    <xf numFmtId="165" fontId="11" fillId="2" borderId="1" xfId="1" applyNumberFormat="1" applyFont="1"/>
    <xf numFmtId="0" fontId="7" fillId="3" borderId="9" xfId="2" applyFont="1" applyBorder="1" applyAlignment="1">
      <alignment horizontal="center" vertical="center"/>
    </xf>
    <xf numFmtId="14" fontId="7" fillId="3" borderId="9" xfId="2" applyNumberFormat="1" applyFont="1" applyBorder="1" applyAlignment="1">
      <alignment horizontal="center" vertical="center"/>
    </xf>
    <xf numFmtId="164" fontId="7" fillId="3" borderId="9" xfId="2" applyNumberFormat="1" applyFont="1" applyBorder="1" applyAlignment="1">
      <alignment horizontal="center" vertical="center"/>
    </xf>
    <xf numFmtId="165" fontId="7" fillId="3" borderId="9" xfId="2" applyNumberFormat="1" applyFont="1" applyBorder="1" applyAlignment="1">
      <alignment horizontal="center" vertical="center"/>
    </xf>
    <xf numFmtId="0" fontId="12" fillId="5" borderId="6" xfId="0" applyFont="1" applyFill="1" applyBorder="1" applyAlignment="1">
      <alignment vertical="center"/>
    </xf>
    <xf numFmtId="0" fontId="13" fillId="5" borderId="0" xfId="0" applyFont="1" applyFill="1" applyBorder="1" applyAlignment="1">
      <alignment vertical="center"/>
    </xf>
    <xf numFmtId="0" fontId="2" fillId="4" borderId="1" xfId="1" applyFont="1" applyFill="1" applyAlignment="1">
      <alignment horizontal="left" vertical="center" indent="1"/>
    </xf>
    <xf numFmtId="14" fontId="5" fillId="2" borderId="1" xfId="1" applyNumberFormat="1" applyFont="1" applyAlignment="1">
      <alignment horizontal="left" vertical="center" indent="1"/>
    </xf>
    <xf numFmtId="0" fontId="5" fillId="2" borderId="1" xfId="1" applyFont="1" applyAlignment="1">
      <alignment horizontal="left" vertical="center" indent="1"/>
    </xf>
    <xf numFmtId="164" fontId="5" fillId="2" borderId="1" xfId="1" applyNumberFormat="1" applyFont="1" applyAlignment="1">
      <alignment horizontal="left" vertical="center" indent="1"/>
    </xf>
    <xf numFmtId="165" fontId="5" fillId="2" borderId="1" xfId="1" applyNumberFormat="1" applyFont="1" applyAlignment="1">
      <alignment horizontal="left" vertical="center" indent="1"/>
    </xf>
    <xf numFmtId="0" fontId="2" fillId="7" borderId="0" xfId="0" applyFont="1" applyFill="1" applyAlignment="1">
      <alignment horizontal="left" vertical="center" indent="1"/>
    </xf>
    <xf numFmtId="0" fontId="7" fillId="0" borderId="0" xfId="2" applyFont="1" applyFill="1" applyBorder="1"/>
    <xf numFmtId="14" fontId="7" fillId="0" borderId="0" xfId="2" applyNumberFormat="1" applyFont="1" applyFill="1" applyBorder="1"/>
    <xf numFmtId="164" fontId="7" fillId="0" borderId="0" xfId="2" applyNumberFormat="1" applyFont="1" applyFill="1" applyBorder="1"/>
    <xf numFmtId="165" fontId="7" fillId="0" borderId="0" xfId="2" applyNumberFormat="1" applyFont="1" applyFill="1" applyBorder="1"/>
    <xf numFmtId="0" fontId="0" fillId="5" borderId="10" xfId="0" applyFill="1" applyBorder="1" applyAlignment="1">
      <alignment vertical="center"/>
    </xf>
    <xf numFmtId="0" fontId="0" fillId="5" borderId="11" xfId="0" applyFill="1" applyBorder="1" applyAlignment="1">
      <alignment vertical="center"/>
    </xf>
    <xf numFmtId="0" fontId="0" fillId="5" borderId="12" xfId="0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166" fontId="0" fillId="0" borderId="0" xfId="0" applyNumberFormat="1"/>
    <xf numFmtId="167" fontId="0" fillId="0" borderId="0" xfId="0" applyNumberFormat="1"/>
    <xf numFmtId="0" fontId="2" fillId="9" borderId="1" xfId="1" applyFont="1" applyFill="1" applyAlignment="1">
      <alignment horizontal="left" vertical="center"/>
    </xf>
    <xf numFmtId="0" fontId="0" fillId="0" borderId="0" xfId="0" applyAlignment="1" applyProtection="1">
      <alignment vertical="center"/>
      <protection hidden="1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165" fontId="2" fillId="7" borderId="13" xfId="0" applyNumberFormat="1" applyFont="1" applyFill="1" applyBorder="1" applyAlignment="1">
      <alignment horizontal="center" vertical="center"/>
    </xf>
    <xf numFmtId="165" fontId="2" fillId="7" borderId="0" xfId="0" applyNumberFormat="1" applyFont="1" applyFill="1" applyAlignment="1">
      <alignment horizontal="center" vertical="center"/>
    </xf>
  </cellXfs>
  <cellStyles count="4">
    <cellStyle name="Giriş" xfId="3" builtinId="20"/>
    <cellStyle name="Normal" xfId="0" builtinId="0"/>
    <cellStyle name="Not" xfId="1" builtinId="10"/>
    <cellStyle name="Vurgu1" xfId="2" builtinId="29"/>
  </cellStyles>
  <dxfs count="1"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209550</xdr:rowOff>
        </xdr:from>
        <xdr:to>
          <xdr:col>16</xdr:col>
          <xdr:colOff>28575</xdr:colOff>
          <xdr:row>6</xdr:row>
          <xdr:rowOff>19050</xdr:rowOff>
        </xdr:to>
        <xdr:sp macro="" textlink="">
          <xdr:nvSpPr>
            <xdr:cNvPr id="1026" name="Lis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0</xdr:rowOff>
        </xdr:from>
        <xdr:to>
          <xdr:col>31</xdr:col>
          <xdr:colOff>790575</xdr:colOff>
          <xdr:row>3</xdr:row>
          <xdr:rowOff>9525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11</xdr:row>
          <xdr:rowOff>0</xdr:rowOff>
        </xdr:from>
        <xdr:to>
          <xdr:col>11</xdr:col>
          <xdr:colOff>171450</xdr:colOff>
          <xdr:row>11</xdr:row>
          <xdr:rowOff>219075</xdr:rowOff>
        </xdr:to>
        <xdr:sp macro="" textlink="">
          <xdr:nvSpPr>
            <xdr:cNvPr id="1028" name="Image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3</xdr:row>
          <xdr:rowOff>47625</xdr:rowOff>
        </xdr:from>
        <xdr:to>
          <xdr:col>31</xdr:col>
          <xdr:colOff>790575</xdr:colOff>
          <xdr:row>4</xdr:row>
          <xdr:rowOff>180975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180975</xdr:rowOff>
    </xdr:from>
    <xdr:to>
      <xdr:col>0</xdr:col>
      <xdr:colOff>1828800</xdr:colOff>
      <xdr:row>13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ARİH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Rİ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0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c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azar" refreshedDate="42676.729871759257" createdVersion="5" refreshedVersion="5" minRefreshableVersion="3" recordCount="16">
  <cacheSource type="worksheet">
    <worksheetSource ref="A1:G1048576" sheet="Liste" r:id="rId2"/>
  </cacheSource>
  <cacheFields count="7">
    <cacheField name="MASA NO" numFmtId="0">
      <sharedItems containsBlank="1"/>
    </cacheField>
    <cacheField name="TARİH" numFmtId="14">
      <sharedItems containsNonDate="0" containsDate="1" containsString="0" containsBlank="1" minDate="2016-10-17T00:00:00" maxDate="2016-10-23T00:00:00" count="3">
        <d v="2016-10-17T00:00:00"/>
        <d v="2016-10-22T00:00:00"/>
        <m/>
      </sharedItems>
    </cacheField>
    <cacheField name="ÜRÜN" numFmtId="0">
      <sharedItems containsBlank="1" count="9">
        <s v="GELENEKSEL TÜRK KAHVESİ"/>
        <s v="ÇAY"/>
        <s v="SU"/>
        <s v="KAHVALTI TABAĞI"/>
        <s v="KARIŞIK TOST"/>
        <s v="BİTKİ ÇAYI"/>
        <s v="KAŞARLI TOST"/>
        <s v="TİRAMİSU"/>
        <m/>
      </sharedItems>
    </cacheField>
    <cacheField name="ADET" numFmtId="164">
      <sharedItems containsString="0" containsBlank="1" containsNumber="1" containsInteger="1" minValue="2" maxValue="66"/>
    </cacheField>
    <cacheField name="TUTARI" numFmtId="165">
      <sharedItems containsString="0" containsBlank="1" containsNumber="1" containsInteger="1" minValue="3" maxValue="264"/>
    </cacheField>
    <cacheField name="MALİYETİ" numFmtId="165">
      <sharedItems containsString="0" containsBlank="1" containsNumber="1" minValue="0.4" maxValue="15"/>
    </cacheField>
    <cacheField name="KAR" numFmtId="165">
      <sharedItems containsString="0" containsBlank="1" containsNumber="1" minValue="1" maxValue="1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s v="Masa 01"/>
    <x v="0"/>
    <x v="0"/>
    <n v="2"/>
    <n v="5"/>
    <n v="1.5"/>
    <n v="3.5"/>
  </r>
  <r>
    <s v="Masa 01"/>
    <x v="0"/>
    <x v="1"/>
    <n v="6"/>
    <n v="9"/>
    <n v="0.4"/>
    <n v="1.1000000000000001"/>
  </r>
  <r>
    <s v="Masa 01"/>
    <x v="0"/>
    <x v="2"/>
    <n v="4"/>
    <n v="8"/>
    <n v="1"/>
    <n v="1"/>
  </r>
  <r>
    <s v="Masa 06"/>
    <x v="0"/>
    <x v="3"/>
    <n v="2"/>
    <n v="50"/>
    <n v="15"/>
    <n v="10"/>
  </r>
  <r>
    <s v="Masa 06"/>
    <x v="0"/>
    <x v="1"/>
    <n v="2"/>
    <n v="3"/>
    <n v="0.4"/>
    <n v="1.1000000000000001"/>
  </r>
  <r>
    <s v="Masa 06"/>
    <x v="0"/>
    <x v="4"/>
    <n v="2"/>
    <n v="10"/>
    <n v="3"/>
    <n v="2"/>
  </r>
  <r>
    <s v="Masa 14"/>
    <x v="1"/>
    <x v="3"/>
    <n v="2"/>
    <n v="50"/>
    <n v="15"/>
    <n v="10"/>
  </r>
  <r>
    <s v="Masa 14"/>
    <x v="1"/>
    <x v="1"/>
    <n v="2"/>
    <n v="3"/>
    <n v="0.4"/>
    <n v="1.1000000000000001"/>
  </r>
  <r>
    <s v="Masa 14"/>
    <x v="1"/>
    <x v="2"/>
    <n v="2"/>
    <n v="4"/>
    <n v="1"/>
    <n v="1"/>
  </r>
  <r>
    <s v="Masa 05"/>
    <x v="1"/>
    <x v="1"/>
    <n v="10"/>
    <n v="15"/>
    <n v="0.4"/>
    <n v="1.1000000000000001"/>
  </r>
  <r>
    <s v="Masa 20"/>
    <x v="1"/>
    <x v="4"/>
    <n v="5"/>
    <n v="25"/>
    <n v="3"/>
    <n v="2"/>
  </r>
  <r>
    <s v="Masa 07"/>
    <x v="1"/>
    <x v="5"/>
    <n v="6"/>
    <n v="15"/>
    <n v="0.8"/>
    <n v="1.7"/>
  </r>
  <r>
    <s v="Masa 09"/>
    <x v="1"/>
    <x v="6"/>
    <n v="66"/>
    <n v="264"/>
    <n v="2.1"/>
    <n v="1.9"/>
  </r>
  <r>
    <s v="Masa 02"/>
    <x v="1"/>
    <x v="7"/>
    <n v="3"/>
    <n v="21"/>
    <n v="4.5"/>
    <n v="2.5"/>
  </r>
  <r>
    <m/>
    <x v="2"/>
    <x v="8"/>
    <m/>
    <m/>
    <m/>
    <m/>
  </r>
  <r>
    <m/>
    <x v="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Değerler" updatedVersion="5" minRefreshableVersion="3" useAutoFormatting="1" itemPrintTitles="1" createdVersion="5" indent="0" outline="1" outlineData="1" multipleFieldFilters="0">
  <location ref="B3:F20" firstHeaderRow="0" firstDataRow="1" firstDataCol="1"/>
  <pivotFields count="7"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10">
        <item x="1"/>
        <item x="0"/>
        <item x="3"/>
        <item x="4"/>
        <item x="2"/>
        <item x="8"/>
        <item x="5"/>
        <item x="6"/>
        <item x="7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7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2"/>
    </i>
    <i r="1">
      <x v="3"/>
    </i>
    <i r="1">
      <x v="4"/>
    </i>
    <i r="1">
      <x v="6"/>
    </i>
    <i r="1">
      <x v="7"/>
    </i>
    <i r="1">
      <x v="8"/>
    </i>
    <i>
      <x v="2"/>
    </i>
    <i r="1"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plam ADET" fld="3" baseField="2" baseItem="0" numFmtId="166"/>
    <dataField name="Toplam TUTARI" fld="4" baseField="2" baseItem="0" numFmtId="167"/>
    <dataField name="Toplam MALİYETİ" fld="5" baseField="2" baseItem="0" numFmtId="167"/>
    <dataField name="Toplam KAR" fld="6" baseField="2" baseItem="0" numFmtId="167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Dilimleyici_TARİH" sourceName="TARİH">
  <pivotTables>
    <pivotTable tabId="4" name="PivotTable1"/>
  </pivotTables>
  <data>
    <tabular pivotCacheId="1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ARİH" cache="Dilimleyici_TARİH" caption="TARİH" rowHeight="241300"/>
</slicers>
</file>

<file path=xl/theme/theme1.xml><?xml version="1.0" encoding="utf-8"?>
<a:theme xmlns:a="http://schemas.openxmlformats.org/drawingml/2006/main" name="Kristal">
  <a:themeElements>
    <a:clrScheme name="Kristal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Kristal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ristal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YD50"/>
  <sheetViews>
    <sheetView showGridLines="0" showRowColHeaders="0" tabSelected="1" workbookViewId="0">
      <selection activeCell="G24" sqref="G24"/>
    </sheetView>
  </sheetViews>
  <sheetFormatPr defaultColWidth="0" defaultRowHeight="16.5" zeroHeight="1" x14ac:dyDescent="0.3"/>
  <cols>
    <col min="1" max="1" width="3.125" style="52" customWidth="1"/>
    <col min="2" max="2" width="1.5" style="52" customWidth="1"/>
    <col min="3" max="3" width="10.625" style="52" customWidth="1"/>
    <col min="4" max="4" width="1.5" style="52" customWidth="1"/>
    <col min="5" max="5" width="10.625" style="52" customWidth="1"/>
    <col min="6" max="6" width="1.5" style="52" customWidth="1"/>
    <col min="7" max="7" width="10.625" style="52" customWidth="1"/>
    <col min="8" max="8" width="1.5" style="52" customWidth="1"/>
    <col min="9" max="9" width="10.625" style="52" customWidth="1"/>
    <col min="10" max="10" width="1.5" style="52" customWidth="1"/>
    <col min="11" max="12" width="2.5" style="52" customWidth="1"/>
    <col min="13" max="13" width="9" style="1" customWidth="1"/>
    <col min="14" max="14" width="18.25" style="1" customWidth="1"/>
    <col min="15" max="15" width="19" style="1" customWidth="1"/>
    <col min="16" max="17" width="9" style="1" customWidth="1"/>
    <col min="18" max="31" width="0" style="1" hidden="1" customWidth="1"/>
    <col min="32" max="32" width="10.5" style="1" customWidth="1"/>
    <col min="33" max="2006" width="0" style="1" hidden="1" customWidth="1"/>
    <col min="2007" max="16384" width="9" style="1" hidden="1"/>
  </cols>
  <sheetData>
    <row r="1" spans="2:31" s="1" customFormat="1" ht="17.25" thickBot="1" x14ac:dyDescent="0.35">
      <c r="W1" s="26" t="s">
        <v>36</v>
      </c>
      <c r="X1" s="27" t="s">
        <v>37</v>
      </c>
      <c r="Y1" s="26" t="s">
        <v>26</v>
      </c>
      <c r="Z1" s="28" t="s">
        <v>38</v>
      </c>
      <c r="AA1" s="29" t="s">
        <v>39</v>
      </c>
      <c r="AB1" s="29" t="s">
        <v>27</v>
      </c>
      <c r="AC1" s="29" t="s">
        <v>28</v>
      </c>
      <c r="AD1" s="26" t="s">
        <v>40</v>
      </c>
      <c r="AE1" s="26" t="s">
        <v>44</v>
      </c>
    </row>
    <row r="2" spans="2:31" s="1" customFormat="1" ht="18" thickTop="1" thickBot="1" x14ac:dyDescent="0.35">
      <c r="B2" s="2"/>
      <c r="C2" s="3"/>
      <c r="D2" s="3"/>
      <c r="E2" s="3"/>
      <c r="F2" s="3"/>
      <c r="G2" s="3"/>
      <c r="H2" s="3"/>
      <c r="I2" s="3"/>
      <c r="J2" s="42"/>
      <c r="W2" s="17" t="s">
        <v>18</v>
      </c>
      <c r="X2" s="18"/>
      <c r="Y2" s="17"/>
      <c r="Z2" s="19"/>
      <c r="AA2" s="20"/>
      <c r="AB2" s="20"/>
      <c r="AC2" s="20"/>
      <c r="AD2" s="17"/>
      <c r="AE2" s="17" t="s">
        <v>44</v>
      </c>
    </row>
    <row r="3" spans="2:31" s="1" customFormat="1" ht="18" x14ac:dyDescent="0.3">
      <c r="B3" s="30" t="b">
        <f>COUNTIFS(Liste!$A:$A,Masalar!C3,Liste!$I:$I,"DOLU")&gt;0</f>
        <v>0</v>
      </c>
      <c r="C3" s="53" t="s">
        <v>17</v>
      </c>
      <c r="D3" s="31" t="b">
        <f>COUNTIFS(Liste!$A:$A,Masalar!E3,Liste!$I:$I,"DOLU")&gt;0</f>
        <v>0</v>
      </c>
      <c r="E3" s="53" t="s">
        <v>22</v>
      </c>
      <c r="F3" s="31" t="b">
        <f>COUNTIFS(Liste!$A:$A,Masalar!G3,Liste!$I:$I,"DOLU")&gt;0</f>
        <v>0</v>
      </c>
      <c r="G3" s="53" t="s">
        <v>1</v>
      </c>
      <c r="H3" s="31" t="b">
        <f>COUNTIFS(Liste!$A:$A,Masalar!I3,Liste!$I:$I,"DOLU")&gt;0</f>
        <v>0</v>
      </c>
      <c r="I3" s="53" t="s">
        <v>6</v>
      </c>
      <c r="J3" s="43"/>
      <c r="M3" s="32" t="s">
        <v>11</v>
      </c>
      <c r="N3" s="33">
        <f ca="1">TODAY()</f>
        <v>42676</v>
      </c>
    </row>
    <row r="4" spans="2:31" s="1" customFormat="1" ht="18.75" thickBot="1" x14ac:dyDescent="0.35">
      <c r="B4" s="30"/>
      <c r="C4" s="54"/>
      <c r="D4" s="31"/>
      <c r="E4" s="54"/>
      <c r="F4" s="31"/>
      <c r="G4" s="54"/>
      <c r="H4" s="31"/>
      <c r="I4" s="54"/>
      <c r="J4" s="43"/>
      <c r="M4" s="32" t="s">
        <v>12</v>
      </c>
      <c r="N4" s="34" t="s">
        <v>51</v>
      </c>
      <c r="W4" s="51" t="s">
        <v>42</v>
      </c>
      <c r="X4" s="51">
        <f>VLOOKUP(N4,Fiyatlar!A:D,3,FALSE)</f>
        <v>4.5</v>
      </c>
    </row>
    <row r="5" spans="2:31" s="1" customFormat="1" ht="18.75" thickBot="1" x14ac:dyDescent="0.35">
      <c r="B5" s="30"/>
      <c r="C5" s="7"/>
      <c r="D5" s="31"/>
      <c r="E5" s="7"/>
      <c r="F5" s="31"/>
      <c r="G5" s="7"/>
      <c r="H5" s="31"/>
      <c r="I5" s="7"/>
      <c r="J5" s="43"/>
      <c r="M5" s="32" t="s">
        <v>13</v>
      </c>
      <c r="N5" s="35">
        <v>3</v>
      </c>
      <c r="W5" s="51" t="s">
        <v>43</v>
      </c>
      <c r="X5" s="51">
        <f>VLOOKUP(N4,Fiyatlar!A:D,4,FALSE)</f>
        <v>2.5</v>
      </c>
    </row>
    <row r="6" spans="2:31" s="1" customFormat="1" ht="18" x14ac:dyDescent="0.3">
      <c r="B6" s="30" t="b">
        <f>COUNTIFS(Liste!$A:$A,Masalar!C6,Liste!$I:$I,"DOLU")&gt;0</f>
        <v>0</v>
      </c>
      <c r="C6" s="53" t="s">
        <v>18</v>
      </c>
      <c r="D6" s="31" t="b">
        <f>COUNTIFS(Liste!$A:$A,Masalar!E6,Liste!$I:$I,"DOLU")&gt;0</f>
        <v>0</v>
      </c>
      <c r="E6" s="53" t="s">
        <v>23</v>
      </c>
      <c r="F6" s="31" t="b">
        <f>COUNTIFS(Liste!$A:$A,Masalar!G6,Liste!$I:$I,"DOLU")&gt;0</f>
        <v>0</v>
      </c>
      <c r="G6" s="53" t="s">
        <v>2</v>
      </c>
      <c r="H6" s="31" t="b">
        <f>COUNTIFS(Liste!$A:$A,Masalar!I6,Liste!$I:$I,"DOLU")&gt;0</f>
        <v>0</v>
      </c>
      <c r="I6" s="53" t="s">
        <v>7</v>
      </c>
      <c r="J6" s="43"/>
      <c r="M6" s="32" t="s">
        <v>14</v>
      </c>
      <c r="N6" s="36">
        <f>VLOOKUP(N4,Fiyatlar!A:D,2,FALSE)</f>
        <v>7</v>
      </c>
    </row>
    <row r="7" spans="2:31" s="1" customFormat="1" ht="18.75" thickBot="1" x14ac:dyDescent="0.35">
      <c r="B7" s="30"/>
      <c r="C7" s="54"/>
      <c r="D7" s="31"/>
      <c r="E7" s="54"/>
      <c r="F7" s="31"/>
      <c r="G7" s="54"/>
      <c r="H7" s="31"/>
      <c r="I7" s="54"/>
      <c r="J7" s="43"/>
      <c r="M7" s="32" t="s">
        <v>15</v>
      </c>
      <c r="N7" s="36">
        <f>N5*N6</f>
        <v>21</v>
      </c>
    </row>
    <row r="8" spans="2:31" s="1" customFormat="1" ht="18.75" thickBot="1" x14ac:dyDescent="0.35">
      <c r="B8" s="30"/>
      <c r="C8" s="7"/>
      <c r="D8" s="31"/>
      <c r="E8" s="7"/>
      <c r="F8" s="31"/>
      <c r="G8" s="7"/>
      <c r="H8" s="31"/>
      <c r="I8" s="7"/>
      <c r="J8" s="43"/>
    </row>
    <row r="9" spans="2:31" s="1" customFormat="1" ht="18" x14ac:dyDescent="0.3">
      <c r="B9" s="30" t="b">
        <f>COUNTIFS(Liste!$A:$A,Masalar!C9,Liste!$I:$I,"DOLU")&gt;0</f>
        <v>0</v>
      </c>
      <c r="C9" s="53" t="s">
        <v>19</v>
      </c>
      <c r="D9" s="31" t="b">
        <f>COUNTIFS(Liste!$A:$A,Masalar!E9,Liste!$I:$I,"DOLU")&gt;0</f>
        <v>0</v>
      </c>
      <c r="E9" s="53" t="s">
        <v>24</v>
      </c>
      <c r="F9" s="31" t="b">
        <f>COUNTIFS(Liste!$A:$A,Masalar!G9,Liste!$I:$I,"DOLU")&gt;0</f>
        <v>0</v>
      </c>
      <c r="G9" s="53" t="s">
        <v>3</v>
      </c>
      <c r="H9" s="31" t="b">
        <f>COUNTIFS(Liste!$A:$A,Masalar!I9,Liste!$I:$I,"DOLU")&gt;0</f>
        <v>0</v>
      </c>
      <c r="I9" s="53" t="s">
        <v>8</v>
      </c>
      <c r="J9" s="43"/>
      <c r="M9" s="32" t="s">
        <v>16</v>
      </c>
      <c r="N9" s="37" t="s">
        <v>18</v>
      </c>
      <c r="O9" s="32" t="s">
        <v>54</v>
      </c>
      <c r="P9" s="55">
        <f>SUM(Q13:Q50)</f>
        <v>0</v>
      </c>
      <c r="Q9" s="56"/>
    </row>
    <row r="10" spans="2:31" s="1" customFormat="1" ht="18.75" thickBot="1" x14ac:dyDescent="0.35">
      <c r="B10" s="30"/>
      <c r="C10" s="54"/>
      <c r="D10" s="31"/>
      <c r="E10" s="54"/>
      <c r="F10" s="31"/>
      <c r="G10" s="54"/>
      <c r="H10" s="31"/>
      <c r="I10" s="54"/>
      <c r="J10" s="43"/>
    </row>
    <row r="11" spans="2:31" s="1" customFormat="1" ht="18.75" thickBot="1" x14ac:dyDescent="0.35">
      <c r="B11" s="30"/>
      <c r="C11" s="7"/>
      <c r="D11" s="31"/>
      <c r="E11" s="7"/>
      <c r="F11" s="31"/>
      <c r="G11" s="7"/>
      <c r="H11" s="31"/>
      <c r="I11" s="7"/>
      <c r="J11" s="43"/>
      <c r="K11" s="38"/>
      <c r="L11" s="39"/>
      <c r="M11" s="38"/>
      <c r="N11" s="40"/>
      <c r="O11" s="41"/>
      <c r="P11" s="41"/>
      <c r="Q11" s="41"/>
      <c r="R11" s="38"/>
      <c r="S11" s="38"/>
    </row>
    <row r="12" spans="2:31" s="1" customFormat="1" ht="18" x14ac:dyDescent="0.3">
      <c r="B12" s="30" t="b">
        <f>COUNTIFS(Liste!$A:$A,Masalar!C12,Liste!$I:$I,"DOLU")&gt;0</f>
        <v>0</v>
      </c>
      <c r="C12" s="53" t="s">
        <v>20</v>
      </c>
      <c r="D12" s="31" t="b">
        <f>COUNTIFS(Liste!$A:$A,Masalar!E12,Liste!$I:$I,"DOLU")&gt;0</f>
        <v>0</v>
      </c>
      <c r="E12" s="53" t="s">
        <v>25</v>
      </c>
      <c r="F12" s="31" t="b">
        <f>COUNTIFS(Liste!$A:$A,Masalar!G12,Liste!$I:$I,"DOLU")&gt;0</f>
        <v>0</v>
      </c>
      <c r="G12" s="53" t="s">
        <v>4</v>
      </c>
      <c r="H12" s="31" t="b">
        <f>COUNTIFS(Liste!$A:$A,Masalar!I12,Liste!$I:$I,"DOLU")&gt;0</f>
        <v>0</v>
      </c>
      <c r="I12" s="53" t="s">
        <v>9</v>
      </c>
      <c r="J12" s="43"/>
      <c r="M12" s="26" t="s">
        <v>36</v>
      </c>
      <c r="N12" s="27" t="s">
        <v>37</v>
      </c>
      <c r="O12" s="26" t="s">
        <v>26</v>
      </c>
      <c r="P12" s="28" t="s">
        <v>38</v>
      </c>
      <c r="Q12" s="29" t="s">
        <v>39</v>
      </c>
      <c r="R12" s="29" t="s">
        <v>27</v>
      </c>
      <c r="S12" s="29" t="s">
        <v>28</v>
      </c>
      <c r="T12" s="26" t="s">
        <v>40</v>
      </c>
      <c r="U12" s="26" t="s">
        <v>44</v>
      </c>
    </row>
    <row r="13" spans="2:31" s="1" customFormat="1" ht="18.75" thickBot="1" x14ac:dyDescent="0.35">
      <c r="B13" s="30"/>
      <c r="C13" s="54"/>
      <c r="D13" s="31"/>
      <c r="E13" s="54"/>
      <c r="F13" s="31"/>
      <c r="G13" s="54"/>
      <c r="H13" s="31"/>
      <c r="I13" s="54"/>
      <c r="J13" s="43"/>
      <c r="M13" s="13"/>
      <c r="N13" s="14"/>
      <c r="O13" s="13"/>
      <c r="P13" s="15"/>
      <c r="Q13" s="16"/>
      <c r="R13" s="16"/>
      <c r="S13" s="16"/>
      <c r="T13" s="13"/>
      <c r="U13" s="13"/>
    </row>
    <row r="14" spans="2:31" s="1" customFormat="1" ht="18.75" thickBot="1" x14ac:dyDescent="0.35">
      <c r="B14" s="30"/>
      <c r="C14" s="7"/>
      <c r="D14" s="31"/>
      <c r="E14" s="7"/>
      <c r="F14" s="31"/>
      <c r="G14" s="7"/>
      <c r="H14" s="31"/>
      <c r="I14" s="7"/>
      <c r="J14" s="43"/>
      <c r="M14" s="13"/>
      <c r="N14" s="14"/>
      <c r="O14" s="13"/>
      <c r="P14" s="15"/>
      <c r="Q14" s="16"/>
      <c r="R14" s="16"/>
      <c r="S14" s="16"/>
      <c r="T14" s="13"/>
      <c r="U14" s="13"/>
    </row>
    <row r="15" spans="2:31" s="1" customFormat="1" ht="18" x14ac:dyDescent="0.3">
      <c r="B15" s="30" t="b">
        <f>COUNTIFS(Liste!$A:$A,Masalar!C15,Liste!$I:$I,"DOLU")&gt;0</f>
        <v>0</v>
      </c>
      <c r="C15" s="53" t="s">
        <v>21</v>
      </c>
      <c r="D15" s="31" t="b">
        <f>COUNTIFS(Liste!$A:$A,Masalar!E15,Liste!$I:$I,"DOLU")&gt;0</f>
        <v>0</v>
      </c>
      <c r="E15" s="53" t="s">
        <v>0</v>
      </c>
      <c r="F15" s="31" t="b">
        <f>COUNTIFS(Liste!$A:$A,Masalar!G15,Liste!$I:$I,"DOLU")&gt;0</f>
        <v>0</v>
      </c>
      <c r="G15" s="53" t="s">
        <v>5</v>
      </c>
      <c r="H15" s="31" t="b">
        <f>COUNTIFS(Liste!$A:$A,Masalar!I15,Liste!$I:$I,"DOLU")&gt;0</f>
        <v>0</v>
      </c>
      <c r="I15" s="53" t="s">
        <v>10</v>
      </c>
      <c r="J15" s="43"/>
      <c r="M15" s="13"/>
      <c r="N15" s="14"/>
      <c r="O15" s="13"/>
      <c r="P15" s="15"/>
      <c r="Q15" s="16"/>
      <c r="R15" s="16"/>
      <c r="S15" s="16"/>
      <c r="T15" s="13"/>
      <c r="U15" s="13"/>
    </row>
    <row r="16" spans="2:31" s="1" customFormat="1" ht="18.75" thickBot="1" x14ac:dyDescent="0.35">
      <c r="B16" s="4"/>
      <c r="C16" s="54"/>
      <c r="D16" s="7"/>
      <c r="E16" s="54"/>
      <c r="F16" s="7"/>
      <c r="G16" s="54"/>
      <c r="H16" s="7"/>
      <c r="I16" s="54"/>
      <c r="J16" s="43"/>
      <c r="M16" s="13"/>
      <c r="N16" s="14"/>
      <c r="O16" s="13"/>
      <c r="P16" s="15"/>
      <c r="Q16" s="16"/>
      <c r="R16" s="16"/>
      <c r="S16" s="16"/>
      <c r="T16" s="13"/>
      <c r="U16" s="13"/>
    </row>
    <row r="17" spans="1:23" ht="17.25" thickBot="1" x14ac:dyDescent="0.35">
      <c r="A17" s="1"/>
      <c r="B17" s="5"/>
      <c r="C17" s="6"/>
      <c r="D17" s="6"/>
      <c r="E17" s="6"/>
      <c r="F17" s="6"/>
      <c r="G17" s="6"/>
      <c r="H17" s="6"/>
      <c r="I17" s="6"/>
      <c r="J17" s="44"/>
      <c r="K17" s="1"/>
      <c r="L17" s="1"/>
      <c r="M17" s="13"/>
      <c r="N17" s="14"/>
      <c r="O17" s="13"/>
      <c r="P17" s="15"/>
      <c r="Q17" s="16"/>
      <c r="R17" s="16"/>
      <c r="S17" s="16"/>
      <c r="T17" s="13"/>
      <c r="U17" s="13"/>
    </row>
    <row r="18" spans="1:23" ht="17.25" thickTop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7"/>
      <c r="N18" s="18"/>
      <c r="O18" s="17"/>
      <c r="P18" s="19"/>
      <c r="Q18" s="20"/>
      <c r="R18" s="20"/>
      <c r="S18" s="20"/>
      <c r="T18" s="17"/>
      <c r="U18" s="17"/>
    </row>
    <row r="19" spans="1:23" x14ac:dyDescent="0.3">
      <c r="M19" s="17"/>
      <c r="N19" s="18"/>
      <c r="O19" s="17"/>
      <c r="P19" s="19"/>
      <c r="Q19" s="20"/>
      <c r="R19" s="20"/>
      <c r="S19" s="20"/>
      <c r="T19" s="17"/>
      <c r="U19" s="17"/>
    </row>
    <row r="20" spans="1:23" x14ac:dyDescent="0.3">
      <c r="M20" s="17"/>
      <c r="N20" s="18"/>
      <c r="O20" s="17"/>
      <c r="P20" s="19"/>
      <c r="Q20" s="20"/>
      <c r="R20" s="20"/>
      <c r="S20" s="20"/>
      <c r="T20" s="17"/>
      <c r="U20" s="17"/>
    </row>
    <row r="21" spans="1:23" x14ac:dyDescent="0.3">
      <c r="M21" s="17"/>
      <c r="N21" s="18"/>
      <c r="O21" s="17"/>
      <c r="P21" s="19"/>
      <c r="Q21" s="20"/>
      <c r="R21" s="20"/>
      <c r="S21" s="20"/>
      <c r="T21" s="17"/>
      <c r="U21" s="17"/>
    </row>
    <row r="22" spans="1:23" x14ac:dyDescent="0.3">
      <c r="M22" s="17"/>
      <c r="N22" s="18"/>
      <c r="O22" s="17"/>
      <c r="P22" s="19"/>
      <c r="Q22" s="20"/>
      <c r="R22" s="20"/>
      <c r="S22" s="20"/>
      <c r="T22" s="17"/>
      <c r="U22" s="17"/>
    </row>
    <row r="23" spans="1:23" x14ac:dyDescent="0.3">
      <c r="M23" s="17"/>
      <c r="N23" s="18"/>
      <c r="O23" s="17"/>
      <c r="P23" s="19"/>
      <c r="Q23" s="20"/>
      <c r="R23" s="20"/>
      <c r="S23" s="20"/>
      <c r="T23" s="17"/>
      <c r="U23" s="17"/>
      <c r="W23"/>
    </row>
    <row r="24" spans="1:23" x14ac:dyDescent="0.3">
      <c r="M24" s="17"/>
      <c r="N24" s="18"/>
      <c r="O24" s="17"/>
      <c r="P24" s="19"/>
      <c r="Q24" s="20"/>
      <c r="R24" s="20"/>
      <c r="S24" s="20"/>
      <c r="T24" s="17"/>
      <c r="U24" s="17"/>
    </row>
    <row r="25" spans="1:23" x14ac:dyDescent="0.3">
      <c r="M25" s="17"/>
      <c r="N25" s="18"/>
      <c r="O25" s="17"/>
      <c r="P25" s="19"/>
      <c r="Q25" s="20"/>
      <c r="R25" s="20"/>
      <c r="S25" s="20"/>
      <c r="T25" s="17"/>
      <c r="U25" s="17"/>
    </row>
    <row r="26" spans="1:23" x14ac:dyDescent="0.3">
      <c r="M26" s="17"/>
      <c r="N26" s="18"/>
      <c r="O26" s="17"/>
      <c r="P26" s="19"/>
      <c r="Q26" s="20"/>
      <c r="R26" s="20"/>
      <c r="S26" s="20"/>
      <c r="T26" s="17"/>
      <c r="U26" s="17"/>
    </row>
    <row r="27" spans="1:23" x14ac:dyDescent="0.3">
      <c r="M27" s="17"/>
      <c r="N27" s="18"/>
      <c r="O27" s="17"/>
      <c r="P27" s="19"/>
      <c r="Q27" s="20"/>
      <c r="R27" s="20"/>
      <c r="S27" s="20"/>
      <c r="T27" s="17"/>
      <c r="U27" s="17"/>
    </row>
    <row r="28" spans="1:23" x14ac:dyDescent="0.3">
      <c r="M28" s="17"/>
      <c r="N28" s="18"/>
      <c r="O28" s="17"/>
      <c r="P28" s="19"/>
      <c r="Q28" s="20"/>
      <c r="R28" s="20"/>
      <c r="S28" s="20"/>
      <c r="T28" s="17"/>
      <c r="U28" s="17"/>
    </row>
    <row r="29" spans="1:23" x14ac:dyDescent="0.3">
      <c r="M29" s="17"/>
      <c r="N29" s="18"/>
      <c r="O29" s="17"/>
      <c r="P29" s="19"/>
      <c r="Q29" s="20"/>
      <c r="R29" s="20"/>
      <c r="S29" s="20"/>
      <c r="T29" s="17"/>
      <c r="U29" s="17"/>
    </row>
    <row r="30" spans="1:23" x14ac:dyDescent="0.3">
      <c r="M30" s="17"/>
      <c r="N30" s="18"/>
      <c r="O30" s="17"/>
      <c r="P30" s="19"/>
      <c r="Q30" s="20"/>
      <c r="R30" s="20"/>
      <c r="S30" s="20"/>
      <c r="T30" s="17"/>
      <c r="U30" s="17"/>
    </row>
    <row r="31" spans="1:23" x14ac:dyDescent="0.3">
      <c r="M31" s="17"/>
      <c r="N31" s="18"/>
      <c r="O31" s="17"/>
      <c r="P31" s="19"/>
      <c r="Q31" s="20"/>
      <c r="R31" s="20"/>
      <c r="S31" s="20"/>
      <c r="T31" s="17"/>
      <c r="U31" s="17"/>
    </row>
    <row r="32" spans="1:23" x14ac:dyDescent="0.3">
      <c r="M32" s="17"/>
      <c r="N32" s="18"/>
      <c r="O32" s="17"/>
      <c r="P32" s="19"/>
      <c r="Q32" s="20"/>
      <c r="R32" s="20"/>
      <c r="S32" s="20"/>
      <c r="T32" s="17"/>
      <c r="U32" s="17"/>
    </row>
    <row r="33" spans="13:21" x14ac:dyDescent="0.3">
      <c r="M33" s="17"/>
      <c r="N33" s="18"/>
      <c r="O33" s="17"/>
      <c r="P33" s="19"/>
      <c r="Q33" s="20"/>
      <c r="R33" s="20"/>
      <c r="S33" s="20"/>
      <c r="T33" s="17"/>
      <c r="U33" s="17"/>
    </row>
    <row r="34" spans="13:21" x14ac:dyDescent="0.3">
      <c r="M34" s="17"/>
      <c r="N34" s="18"/>
      <c r="O34" s="17"/>
      <c r="P34" s="19"/>
      <c r="Q34" s="20"/>
      <c r="R34" s="20"/>
      <c r="S34" s="20"/>
      <c r="T34" s="17"/>
      <c r="U34" s="17"/>
    </row>
    <row r="35" spans="13:21" x14ac:dyDescent="0.3">
      <c r="M35" s="17"/>
      <c r="N35" s="18"/>
      <c r="O35" s="17"/>
      <c r="P35" s="19"/>
      <c r="Q35" s="20"/>
      <c r="R35" s="20"/>
      <c r="S35" s="20"/>
      <c r="T35" s="17"/>
      <c r="U35" s="17"/>
    </row>
    <row r="36" spans="13:21" x14ac:dyDescent="0.3">
      <c r="M36" s="17"/>
      <c r="N36" s="18"/>
      <c r="O36" s="17"/>
      <c r="P36" s="19"/>
      <c r="Q36" s="20"/>
      <c r="R36" s="20"/>
      <c r="S36" s="20"/>
      <c r="T36" s="17"/>
      <c r="U36" s="17"/>
    </row>
    <row r="37" spans="13:21" x14ac:dyDescent="0.3">
      <c r="M37" s="17"/>
      <c r="N37" s="18"/>
      <c r="O37" s="17"/>
      <c r="P37" s="19"/>
      <c r="Q37" s="20"/>
      <c r="R37" s="20"/>
      <c r="S37" s="20"/>
      <c r="T37" s="17"/>
      <c r="U37" s="17"/>
    </row>
    <row r="38" spans="13:21" x14ac:dyDescent="0.3">
      <c r="M38" s="17"/>
      <c r="N38" s="18"/>
      <c r="O38" s="17"/>
      <c r="P38" s="19"/>
      <c r="Q38" s="20"/>
      <c r="R38" s="20"/>
      <c r="S38" s="20"/>
      <c r="T38" s="17"/>
      <c r="U38" s="17"/>
    </row>
    <row r="39" spans="13:21" x14ac:dyDescent="0.3">
      <c r="M39" s="17"/>
      <c r="N39" s="18"/>
      <c r="O39" s="17"/>
      <c r="P39" s="19"/>
      <c r="Q39" s="20"/>
      <c r="R39" s="20"/>
      <c r="S39" s="20"/>
      <c r="T39" s="17"/>
      <c r="U39" s="17"/>
    </row>
    <row r="40" spans="13:21" x14ac:dyDescent="0.3">
      <c r="M40" s="17"/>
      <c r="N40" s="18"/>
      <c r="O40" s="17"/>
      <c r="P40" s="19"/>
      <c r="Q40" s="20"/>
      <c r="R40" s="20"/>
      <c r="S40" s="20"/>
      <c r="T40" s="17"/>
      <c r="U40" s="17"/>
    </row>
    <row r="41" spans="13:21" x14ac:dyDescent="0.3">
      <c r="M41" s="17"/>
      <c r="N41" s="18"/>
      <c r="O41" s="17"/>
      <c r="P41" s="19"/>
      <c r="Q41" s="20"/>
      <c r="R41" s="20"/>
      <c r="S41" s="20"/>
      <c r="T41" s="17"/>
      <c r="U41" s="17"/>
    </row>
    <row r="42" spans="13:21" x14ac:dyDescent="0.3">
      <c r="M42" s="17"/>
      <c r="N42" s="18"/>
      <c r="O42" s="17"/>
      <c r="P42" s="19"/>
      <c r="Q42" s="20"/>
      <c r="R42" s="20"/>
      <c r="S42" s="20"/>
      <c r="T42" s="17"/>
      <c r="U42" s="17"/>
    </row>
    <row r="43" spans="13:21" x14ac:dyDescent="0.3">
      <c r="M43" s="17"/>
      <c r="N43" s="18"/>
      <c r="O43" s="17"/>
      <c r="P43" s="19"/>
      <c r="Q43" s="20"/>
      <c r="R43" s="20"/>
      <c r="S43" s="20"/>
      <c r="T43" s="17"/>
      <c r="U43" s="17"/>
    </row>
    <row r="44" spans="13:21" x14ac:dyDescent="0.3">
      <c r="M44" s="17"/>
      <c r="N44" s="18"/>
      <c r="O44" s="17"/>
      <c r="P44" s="19"/>
      <c r="Q44" s="20"/>
      <c r="R44" s="20"/>
      <c r="S44" s="20"/>
      <c r="T44" s="17"/>
      <c r="U44" s="17"/>
    </row>
    <row r="45" spans="13:21" x14ac:dyDescent="0.3">
      <c r="M45" s="17"/>
      <c r="N45" s="18"/>
      <c r="O45" s="17"/>
      <c r="P45" s="19"/>
      <c r="Q45" s="20"/>
      <c r="R45" s="20"/>
      <c r="S45" s="20"/>
      <c r="T45" s="17"/>
      <c r="U45" s="17"/>
    </row>
    <row r="46" spans="13:21" x14ac:dyDescent="0.3">
      <c r="M46" s="17"/>
      <c r="N46" s="18"/>
      <c r="O46" s="17"/>
      <c r="P46" s="19"/>
      <c r="Q46" s="20"/>
      <c r="R46" s="20"/>
      <c r="S46" s="20"/>
      <c r="T46" s="17"/>
      <c r="U46" s="17"/>
    </row>
    <row r="47" spans="13:21" x14ac:dyDescent="0.3">
      <c r="M47" s="17"/>
      <c r="N47" s="18"/>
      <c r="O47" s="17"/>
      <c r="P47" s="19"/>
      <c r="Q47" s="20"/>
      <c r="R47" s="20"/>
      <c r="S47" s="20"/>
      <c r="T47" s="17"/>
      <c r="U47" s="17"/>
    </row>
    <row r="48" spans="13:21" x14ac:dyDescent="0.3">
      <c r="M48" s="17"/>
      <c r="N48" s="18"/>
      <c r="O48" s="17"/>
      <c r="P48" s="19"/>
      <c r="Q48" s="20"/>
      <c r="R48" s="20"/>
      <c r="S48" s="20"/>
      <c r="T48" s="17"/>
      <c r="U48" s="17"/>
    </row>
    <row r="49" spans="13:21" x14ac:dyDescent="0.3">
      <c r="M49" s="17"/>
      <c r="N49" s="18"/>
      <c r="O49" s="17"/>
      <c r="P49" s="19"/>
      <c r="Q49" s="20"/>
      <c r="R49" s="20"/>
      <c r="S49" s="20"/>
      <c r="T49" s="17"/>
      <c r="U49" s="17"/>
    </row>
    <row r="50" spans="13:21" x14ac:dyDescent="0.3">
      <c r="M50" s="17"/>
      <c r="N50" s="18"/>
      <c r="O50" s="17"/>
      <c r="P50" s="19"/>
      <c r="Q50" s="20"/>
      <c r="R50" s="20"/>
      <c r="S50" s="20"/>
      <c r="T50" s="17"/>
      <c r="U50" s="17"/>
    </row>
  </sheetData>
  <mergeCells count="21">
    <mergeCell ref="P9:Q9"/>
    <mergeCell ref="E12:E13"/>
    <mergeCell ref="E15:E16"/>
    <mergeCell ref="G3:G4"/>
    <mergeCell ref="G6:G7"/>
    <mergeCell ref="E3:E4"/>
    <mergeCell ref="I3:I4"/>
    <mergeCell ref="I6:I7"/>
    <mergeCell ref="I9:I10"/>
    <mergeCell ref="E6:E7"/>
    <mergeCell ref="E9:E10"/>
    <mergeCell ref="I12:I13"/>
    <mergeCell ref="I15:I16"/>
    <mergeCell ref="G9:G10"/>
    <mergeCell ref="G12:G13"/>
    <mergeCell ref="G15:G16"/>
    <mergeCell ref="C3:C4"/>
    <mergeCell ref="C6:C7"/>
    <mergeCell ref="C9:C10"/>
    <mergeCell ref="C12:C13"/>
    <mergeCell ref="C15:C16"/>
  </mergeCells>
  <conditionalFormatting sqref="C3:I16">
    <cfRule type="expression" dxfId="0" priority="1">
      <formula>B3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  <controls>
    <mc:AlternateContent xmlns:mc="http://schemas.openxmlformats.org/markup-compatibility/2006">
      <mc:Choice Requires="x14">
        <control shapeId="1029" r:id="rId5" name="CommandButton1">
          <controlPr defaultSize="0" autoLine="0" r:id="rId6">
            <anchor moveWithCells="1">
              <from>
                <xdr:col>16</xdr:col>
                <xdr:colOff>47625</xdr:colOff>
                <xdr:row>3</xdr:row>
                <xdr:rowOff>47625</xdr:rowOff>
              </from>
              <to>
                <xdr:col>31</xdr:col>
                <xdr:colOff>790575</xdr:colOff>
                <xdr:row>4</xdr:row>
                <xdr:rowOff>180975</xdr:rowOff>
              </to>
            </anchor>
          </controlPr>
        </control>
      </mc:Choice>
      <mc:Fallback>
        <control shapeId="1029" r:id="rId5" name="CommandButton1"/>
      </mc:Fallback>
    </mc:AlternateContent>
    <mc:AlternateContent xmlns:mc="http://schemas.openxmlformats.org/markup-compatibility/2006">
      <mc:Choice Requires="x14">
        <control shapeId="1026" r:id="rId7" name="ListBox1">
          <controlPr autoLine="0" r:id="rId8">
            <anchor moveWithCells="1">
              <from>
                <xdr:col>14</xdr:col>
                <xdr:colOff>9525</xdr:colOff>
                <xdr:row>1</xdr:row>
                <xdr:rowOff>209550</xdr:rowOff>
              </from>
              <to>
                <xdr:col>16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1026" r:id="rId7" name="ListBox1"/>
      </mc:Fallback>
    </mc:AlternateContent>
    <mc:AlternateContent xmlns:mc="http://schemas.openxmlformats.org/markup-compatibility/2006">
      <mc:Choice Requires="x14">
        <control shapeId="1027" r:id="rId9" name="TextBox1">
          <controlPr autoLine="0" r:id="rId10">
            <anchor moveWithCells="1">
              <from>
                <xdr:col>16</xdr:col>
                <xdr:colOff>38100</xdr:colOff>
                <xdr:row>2</xdr:row>
                <xdr:rowOff>0</xdr:rowOff>
              </from>
              <to>
                <xdr:col>31</xdr:col>
                <xdr:colOff>790575</xdr:colOff>
                <xdr:row>3</xdr:row>
                <xdr:rowOff>9525</xdr:rowOff>
              </to>
            </anchor>
          </controlPr>
        </control>
      </mc:Choice>
      <mc:Fallback>
        <control shapeId="1027" r:id="rId9" name="TextBox1"/>
      </mc:Fallback>
    </mc:AlternateContent>
    <mc:AlternateContent xmlns:mc="http://schemas.openxmlformats.org/markup-compatibility/2006">
      <mc:Choice Requires="x14">
        <control shapeId="1028" r:id="rId11" name="Image1">
          <controlPr defaultSize="0" autoLine="0" r:id="rId12">
            <anchor moveWithCells="1">
              <from>
                <xdr:col>10</xdr:col>
                <xdr:colOff>114300</xdr:colOff>
                <xdr:row>11</xdr:row>
                <xdr:rowOff>0</xdr:rowOff>
              </from>
              <to>
                <xdr:col>11</xdr:col>
                <xdr:colOff>171450</xdr:colOff>
                <xdr:row>11</xdr:row>
                <xdr:rowOff>219075</xdr:rowOff>
              </to>
            </anchor>
          </controlPr>
        </control>
      </mc:Choice>
      <mc:Fallback>
        <control shapeId="1028" r:id="rId11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B3:F20"/>
  <sheetViews>
    <sheetView showGridLines="0" showRowColHeaders="0" workbookViewId="0">
      <selection activeCell="B3" sqref="B3"/>
    </sheetView>
  </sheetViews>
  <sheetFormatPr defaultRowHeight="16.5" x14ac:dyDescent="0.3"/>
  <cols>
    <col min="1" max="1" width="24.125" customWidth="1"/>
    <col min="2" max="2" width="29.125" bestFit="1" customWidth="1"/>
    <col min="3" max="3" width="12.875" bestFit="1" customWidth="1"/>
    <col min="4" max="4" width="14.625" bestFit="1" customWidth="1"/>
    <col min="5" max="5" width="16.375" bestFit="1" customWidth="1"/>
    <col min="6" max="6" width="11.625" bestFit="1" customWidth="1"/>
  </cols>
  <sheetData>
    <row r="3" spans="2:6" x14ac:dyDescent="0.3">
      <c r="B3" s="45" t="s">
        <v>56</v>
      </c>
      <c r="C3" t="s">
        <v>59</v>
      </c>
      <c r="D3" t="s">
        <v>60</v>
      </c>
      <c r="E3" t="s">
        <v>61</v>
      </c>
      <c r="F3" t="s">
        <v>62</v>
      </c>
    </row>
    <row r="4" spans="2:6" x14ac:dyDescent="0.3">
      <c r="B4" s="47">
        <v>42660</v>
      </c>
      <c r="C4" s="49">
        <v>18</v>
      </c>
      <c r="D4" s="50">
        <v>85</v>
      </c>
      <c r="E4" s="50">
        <v>21.3</v>
      </c>
      <c r="F4" s="50">
        <v>18.7</v>
      </c>
    </row>
    <row r="5" spans="2:6" x14ac:dyDescent="0.3">
      <c r="B5" s="48" t="s">
        <v>34</v>
      </c>
      <c r="C5" s="49">
        <v>8</v>
      </c>
      <c r="D5" s="50">
        <v>12</v>
      </c>
      <c r="E5" s="50">
        <v>0.8</v>
      </c>
      <c r="F5" s="50">
        <v>2.2000000000000002</v>
      </c>
    </row>
    <row r="6" spans="2:6" x14ac:dyDescent="0.3">
      <c r="B6" s="48" t="s">
        <v>45</v>
      </c>
      <c r="C6" s="49">
        <v>2</v>
      </c>
      <c r="D6" s="50">
        <v>5</v>
      </c>
      <c r="E6" s="50">
        <v>1.5</v>
      </c>
      <c r="F6" s="50">
        <v>3.5</v>
      </c>
    </row>
    <row r="7" spans="2:6" x14ac:dyDescent="0.3">
      <c r="B7" s="48" t="s">
        <v>30</v>
      </c>
      <c r="C7" s="49">
        <v>2</v>
      </c>
      <c r="D7" s="50">
        <v>50</v>
      </c>
      <c r="E7" s="50">
        <v>15</v>
      </c>
      <c r="F7" s="50">
        <v>10</v>
      </c>
    </row>
    <row r="8" spans="2:6" x14ac:dyDescent="0.3">
      <c r="B8" s="48" t="s">
        <v>33</v>
      </c>
      <c r="C8" s="49">
        <v>2</v>
      </c>
      <c r="D8" s="50">
        <v>10</v>
      </c>
      <c r="E8" s="50">
        <v>3</v>
      </c>
      <c r="F8" s="50">
        <v>2</v>
      </c>
    </row>
    <row r="9" spans="2:6" x14ac:dyDescent="0.3">
      <c r="B9" s="48" t="s">
        <v>48</v>
      </c>
      <c r="C9" s="49">
        <v>4</v>
      </c>
      <c r="D9" s="50">
        <v>8</v>
      </c>
      <c r="E9" s="50">
        <v>1</v>
      </c>
      <c r="F9" s="50">
        <v>1</v>
      </c>
    </row>
    <row r="10" spans="2:6" x14ac:dyDescent="0.3">
      <c r="B10" s="47">
        <v>42665</v>
      </c>
      <c r="C10" s="49">
        <v>96</v>
      </c>
      <c r="D10" s="50">
        <v>397</v>
      </c>
      <c r="E10" s="50">
        <v>27.200000000000003</v>
      </c>
      <c r="F10" s="50">
        <v>21.299999999999997</v>
      </c>
    </row>
    <row r="11" spans="2:6" x14ac:dyDescent="0.3">
      <c r="B11" s="48" t="s">
        <v>34</v>
      </c>
      <c r="C11" s="49">
        <v>12</v>
      </c>
      <c r="D11" s="50">
        <v>18</v>
      </c>
      <c r="E11" s="50">
        <v>0.8</v>
      </c>
      <c r="F11" s="50">
        <v>2.2000000000000002</v>
      </c>
    </row>
    <row r="12" spans="2:6" x14ac:dyDescent="0.3">
      <c r="B12" s="48" t="s">
        <v>30</v>
      </c>
      <c r="C12" s="49">
        <v>2</v>
      </c>
      <c r="D12" s="50">
        <v>50</v>
      </c>
      <c r="E12" s="50">
        <v>15</v>
      </c>
      <c r="F12" s="50">
        <v>10</v>
      </c>
    </row>
    <row r="13" spans="2:6" x14ac:dyDescent="0.3">
      <c r="B13" s="48" t="s">
        <v>33</v>
      </c>
      <c r="C13" s="49">
        <v>5</v>
      </c>
      <c r="D13" s="50">
        <v>25</v>
      </c>
      <c r="E13" s="50">
        <v>3</v>
      </c>
      <c r="F13" s="50">
        <v>2</v>
      </c>
    </row>
    <row r="14" spans="2:6" x14ac:dyDescent="0.3">
      <c r="B14" s="48" t="s">
        <v>48</v>
      </c>
      <c r="C14" s="49">
        <v>2</v>
      </c>
      <c r="D14" s="50">
        <v>4</v>
      </c>
      <c r="E14" s="50">
        <v>1</v>
      </c>
      <c r="F14" s="50">
        <v>1</v>
      </c>
    </row>
    <row r="15" spans="2:6" x14ac:dyDescent="0.3">
      <c r="B15" s="48" t="s">
        <v>35</v>
      </c>
      <c r="C15" s="49">
        <v>6</v>
      </c>
      <c r="D15" s="50">
        <v>15</v>
      </c>
      <c r="E15" s="50">
        <v>0.8</v>
      </c>
      <c r="F15" s="50">
        <v>1.7</v>
      </c>
    </row>
    <row r="16" spans="2:6" x14ac:dyDescent="0.3">
      <c r="B16" s="48" t="s">
        <v>31</v>
      </c>
      <c r="C16" s="49">
        <v>66</v>
      </c>
      <c r="D16" s="50">
        <v>264</v>
      </c>
      <c r="E16" s="50">
        <v>2.1</v>
      </c>
      <c r="F16" s="50">
        <v>1.9</v>
      </c>
    </row>
    <row r="17" spans="2:6" x14ac:dyDescent="0.3">
      <c r="B17" s="48" t="s">
        <v>51</v>
      </c>
      <c r="C17" s="49">
        <v>3</v>
      </c>
      <c r="D17" s="50">
        <v>21</v>
      </c>
      <c r="E17" s="50">
        <v>4.5</v>
      </c>
      <c r="F17" s="50">
        <v>2.5</v>
      </c>
    </row>
    <row r="18" spans="2:6" x14ac:dyDescent="0.3">
      <c r="B18" s="46" t="s">
        <v>57</v>
      </c>
      <c r="C18" s="49"/>
      <c r="D18" s="50"/>
      <c r="E18" s="50"/>
      <c r="F18" s="50"/>
    </row>
    <row r="19" spans="2:6" x14ac:dyDescent="0.3">
      <c r="B19" s="48" t="s">
        <v>57</v>
      </c>
      <c r="C19" s="49"/>
      <c r="D19" s="50"/>
      <c r="E19" s="50"/>
      <c r="F19" s="50"/>
    </row>
    <row r="20" spans="2:6" x14ac:dyDescent="0.3">
      <c r="B20" s="46" t="s">
        <v>58</v>
      </c>
      <c r="C20" s="49">
        <v>114</v>
      </c>
      <c r="D20" s="50">
        <v>482</v>
      </c>
      <c r="E20" s="50">
        <v>48.5</v>
      </c>
      <c r="F20" s="50">
        <v>40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U45"/>
  <sheetViews>
    <sheetView showGridLines="0" showRowColHeaders="0" workbookViewId="0">
      <selection activeCell="F17" sqref="F17"/>
    </sheetView>
  </sheetViews>
  <sheetFormatPr defaultRowHeight="15" x14ac:dyDescent="0.3"/>
  <cols>
    <col min="1" max="1" width="7.75" style="13" bestFit="1" customWidth="1"/>
    <col min="2" max="2" width="9.125" style="14" bestFit="1" customWidth="1"/>
    <col min="3" max="3" width="21.375" style="13" bestFit="1" customWidth="1"/>
    <col min="4" max="4" width="7" style="15" bestFit="1" customWidth="1"/>
    <col min="5" max="5" width="6.5" style="16" bestFit="1" customWidth="1"/>
    <col min="6" max="6" width="8" style="16" bestFit="1" customWidth="1"/>
    <col min="7" max="7" width="6.375" style="16" bestFit="1" customWidth="1"/>
    <col min="8" max="8" width="5.25" style="13" bestFit="1" customWidth="1"/>
    <col min="9" max="9" width="7.5" style="13" bestFit="1" customWidth="1"/>
    <col min="10" max="16384" width="9" style="12"/>
  </cols>
  <sheetData>
    <row r="1" spans="1:21" x14ac:dyDescent="0.3">
      <c r="A1" s="8" t="s">
        <v>36</v>
      </c>
      <c r="B1" s="9" t="s">
        <v>37</v>
      </c>
      <c r="C1" s="8" t="s">
        <v>26</v>
      </c>
      <c r="D1" s="10" t="s">
        <v>38</v>
      </c>
      <c r="E1" s="11" t="s">
        <v>39</v>
      </c>
      <c r="F1" s="11" t="s">
        <v>27</v>
      </c>
      <c r="G1" s="11" t="s">
        <v>28</v>
      </c>
      <c r="H1" s="8" t="s">
        <v>40</v>
      </c>
      <c r="I1" s="8" t="s">
        <v>41</v>
      </c>
    </row>
    <row r="2" spans="1:21" x14ac:dyDescent="0.3">
      <c r="A2" s="13" t="s">
        <v>17</v>
      </c>
      <c r="B2" s="14">
        <v>42660</v>
      </c>
      <c r="C2" s="13" t="s">
        <v>45</v>
      </c>
      <c r="D2" s="15">
        <v>2</v>
      </c>
      <c r="E2" s="16">
        <v>5</v>
      </c>
      <c r="F2" s="16">
        <v>1.5</v>
      </c>
      <c r="G2" s="16">
        <v>3.5</v>
      </c>
      <c r="H2" s="13">
        <f>ROW()</f>
        <v>2</v>
      </c>
      <c r="I2" s="13" t="s">
        <v>55</v>
      </c>
    </row>
    <row r="3" spans="1:21" x14ac:dyDescent="0.3">
      <c r="A3" s="13" t="s">
        <v>17</v>
      </c>
      <c r="B3" s="14">
        <v>42660</v>
      </c>
      <c r="C3" s="13" t="s">
        <v>34</v>
      </c>
      <c r="D3" s="15">
        <v>6</v>
      </c>
      <c r="E3" s="16">
        <v>9</v>
      </c>
      <c r="F3" s="16">
        <v>0.4</v>
      </c>
      <c r="G3" s="16">
        <v>1.1000000000000001</v>
      </c>
      <c r="H3" s="13">
        <f>ROW()</f>
        <v>3</v>
      </c>
      <c r="I3" s="13" t="s">
        <v>55</v>
      </c>
    </row>
    <row r="4" spans="1:21" x14ac:dyDescent="0.3">
      <c r="A4" s="13" t="s">
        <v>17</v>
      </c>
      <c r="B4" s="14">
        <v>42660</v>
      </c>
      <c r="C4" s="13" t="s">
        <v>48</v>
      </c>
      <c r="D4" s="15">
        <v>4</v>
      </c>
      <c r="E4" s="16">
        <v>8</v>
      </c>
      <c r="F4" s="16">
        <v>1</v>
      </c>
      <c r="G4" s="16">
        <v>1</v>
      </c>
      <c r="H4" s="13">
        <f>ROW()</f>
        <v>4</v>
      </c>
      <c r="I4" s="13" t="s">
        <v>55</v>
      </c>
    </row>
    <row r="5" spans="1:21" x14ac:dyDescent="0.3">
      <c r="A5" s="13" t="s">
        <v>22</v>
      </c>
      <c r="B5" s="14">
        <v>42660</v>
      </c>
      <c r="C5" s="13" t="s">
        <v>30</v>
      </c>
      <c r="D5" s="15">
        <v>2</v>
      </c>
      <c r="E5" s="16">
        <v>50</v>
      </c>
      <c r="F5" s="16">
        <v>15</v>
      </c>
      <c r="G5" s="16">
        <v>10</v>
      </c>
      <c r="H5" s="13">
        <f>ROW()</f>
        <v>5</v>
      </c>
      <c r="I5" s="13" t="s">
        <v>55</v>
      </c>
    </row>
    <row r="6" spans="1:21" x14ac:dyDescent="0.3">
      <c r="A6" s="13" t="s">
        <v>22</v>
      </c>
      <c r="B6" s="14">
        <v>42660</v>
      </c>
      <c r="C6" s="13" t="s">
        <v>34</v>
      </c>
      <c r="D6" s="15">
        <v>2</v>
      </c>
      <c r="E6" s="16">
        <v>3</v>
      </c>
      <c r="F6" s="16">
        <v>0.4</v>
      </c>
      <c r="G6" s="16">
        <v>1.1000000000000001</v>
      </c>
      <c r="H6" s="13">
        <f>ROW()</f>
        <v>6</v>
      </c>
      <c r="I6" s="13" t="s">
        <v>55</v>
      </c>
    </row>
    <row r="7" spans="1:21" x14ac:dyDescent="0.3">
      <c r="A7" s="13" t="s">
        <v>22</v>
      </c>
      <c r="B7" s="14">
        <v>42660</v>
      </c>
      <c r="C7" s="13" t="s">
        <v>33</v>
      </c>
      <c r="D7" s="15">
        <v>2</v>
      </c>
      <c r="E7" s="16">
        <v>10</v>
      </c>
      <c r="F7" s="16">
        <v>3</v>
      </c>
      <c r="G7" s="16">
        <v>2</v>
      </c>
      <c r="H7" s="13">
        <f>ROW()</f>
        <v>7</v>
      </c>
      <c r="I7" s="13" t="s">
        <v>55</v>
      </c>
    </row>
    <row r="8" spans="1:21" ht="16.5" x14ac:dyDescent="0.3">
      <c r="A8" s="13" t="s">
        <v>4</v>
      </c>
      <c r="B8" s="14">
        <v>42665</v>
      </c>
      <c r="C8" s="13" t="s">
        <v>30</v>
      </c>
      <c r="D8" s="15">
        <v>2</v>
      </c>
      <c r="E8" s="16">
        <v>50</v>
      </c>
      <c r="F8" s="16">
        <v>15</v>
      </c>
      <c r="G8" s="16">
        <v>10</v>
      </c>
      <c r="H8" s="13">
        <f>ROW()</f>
        <v>8</v>
      </c>
      <c r="I8" s="13" t="s">
        <v>55</v>
      </c>
      <c r="M8"/>
      <c r="N8"/>
      <c r="O8"/>
      <c r="P8"/>
      <c r="Q8"/>
      <c r="R8"/>
      <c r="S8"/>
      <c r="T8"/>
      <c r="U8"/>
    </row>
    <row r="9" spans="1:21" ht="16.5" x14ac:dyDescent="0.3">
      <c r="A9" s="13" t="s">
        <v>4</v>
      </c>
      <c r="B9" s="14">
        <v>42665</v>
      </c>
      <c r="C9" s="13" t="s">
        <v>34</v>
      </c>
      <c r="D9" s="15">
        <v>2</v>
      </c>
      <c r="E9" s="16">
        <v>3</v>
      </c>
      <c r="F9" s="16">
        <v>0.4</v>
      </c>
      <c r="G9" s="16">
        <v>1.1000000000000001</v>
      </c>
      <c r="H9" s="13">
        <f>ROW()</f>
        <v>9</v>
      </c>
      <c r="I9" s="13" t="s">
        <v>55</v>
      </c>
      <c r="M9"/>
      <c r="N9"/>
      <c r="O9"/>
      <c r="P9"/>
      <c r="Q9"/>
      <c r="R9"/>
      <c r="S9"/>
      <c r="T9"/>
      <c r="U9"/>
    </row>
    <row r="10" spans="1:21" ht="16.5" x14ac:dyDescent="0.3">
      <c r="A10" s="13" t="s">
        <v>4</v>
      </c>
      <c r="B10" s="14">
        <v>42665</v>
      </c>
      <c r="C10" s="13" t="s">
        <v>48</v>
      </c>
      <c r="D10" s="15">
        <v>2</v>
      </c>
      <c r="E10" s="16">
        <v>4</v>
      </c>
      <c r="F10" s="16">
        <v>1</v>
      </c>
      <c r="G10" s="16">
        <v>1</v>
      </c>
      <c r="H10" s="13">
        <f>ROW()</f>
        <v>10</v>
      </c>
      <c r="I10" s="13" t="s">
        <v>55</v>
      </c>
      <c r="M10"/>
      <c r="N10"/>
      <c r="O10"/>
      <c r="P10"/>
      <c r="Q10"/>
      <c r="R10"/>
      <c r="S10"/>
      <c r="T10"/>
      <c r="U10"/>
    </row>
    <row r="11" spans="1:21" ht="16.5" x14ac:dyDescent="0.3">
      <c r="A11" s="13" t="s">
        <v>21</v>
      </c>
      <c r="B11" s="14">
        <v>42665</v>
      </c>
      <c r="C11" s="13" t="s">
        <v>34</v>
      </c>
      <c r="D11" s="15">
        <v>10</v>
      </c>
      <c r="E11" s="16">
        <v>15</v>
      </c>
      <c r="F11" s="16">
        <v>0.4</v>
      </c>
      <c r="G11" s="16">
        <v>1.1000000000000001</v>
      </c>
      <c r="H11" s="13">
        <f>ROW()</f>
        <v>11</v>
      </c>
      <c r="I11" s="13" t="s">
        <v>55</v>
      </c>
      <c r="M11"/>
      <c r="N11"/>
      <c r="O11"/>
      <c r="P11"/>
      <c r="Q11"/>
      <c r="R11"/>
      <c r="S11"/>
      <c r="T11"/>
      <c r="U11"/>
    </row>
    <row r="12" spans="1:21" ht="16.5" x14ac:dyDescent="0.3">
      <c r="A12" s="13" t="s">
        <v>10</v>
      </c>
      <c r="B12" s="14">
        <v>42665</v>
      </c>
      <c r="C12" s="13" t="s">
        <v>33</v>
      </c>
      <c r="D12" s="15">
        <v>5</v>
      </c>
      <c r="E12" s="16">
        <v>25</v>
      </c>
      <c r="F12" s="16">
        <v>3</v>
      </c>
      <c r="G12" s="16">
        <v>2</v>
      </c>
      <c r="H12" s="13">
        <f>ROW()</f>
        <v>12</v>
      </c>
      <c r="I12" s="13" t="s">
        <v>55</v>
      </c>
      <c r="M12"/>
      <c r="N12"/>
      <c r="O12"/>
      <c r="P12"/>
      <c r="Q12"/>
      <c r="R12"/>
      <c r="S12"/>
      <c r="T12"/>
      <c r="U12"/>
    </row>
    <row r="13" spans="1:21" ht="16.5" x14ac:dyDescent="0.3">
      <c r="A13" s="13" t="s">
        <v>23</v>
      </c>
      <c r="B13" s="14">
        <v>42665</v>
      </c>
      <c r="C13" s="13" t="s">
        <v>35</v>
      </c>
      <c r="D13" s="15">
        <v>6</v>
      </c>
      <c r="E13" s="16">
        <v>15</v>
      </c>
      <c r="F13" s="16">
        <v>0.8</v>
      </c>
      <c r="G13" s="16">
        <v>1.7</v>
      </c>
      <c r="H13" s="13">
        <f>ROW()</f>
        <v>13</v>
      </c>
      <c r="I13" s="13" t="s">
        <v>55</v>
      </c>
      <c r="M13"/>
      <c r="N13"/>
      <c r="O13"/>
      <c r="P13"/>
      <c r="Q13"/>
      <c r="R13"/>
      <c r="S13"/>
      <c r="T13"/>
      <c r="U13"/>
    </row>
    <row r="14" spans="1:21" ht="16.5" x14ac:dyDescent="0.3">
      <c r="A14" s="13" t="s">
        <v>25</v>
      </c>
      <c r="B14" s="14">
        <v>42665</v>
      </c>
      <c r="C14" s="13" t="s">
        <v>31</v>
      </c>
      <c r="D14" s="15">
        <v>66</v>
      </c>
      <c r="E14" s="16">
        <v>264</v>
      </c>
      <c r="F14" s="16">
        <v>2.1</v>
      </c>
      <c r="G14" s="16">
        <v>1.9</v>
      </c>
      <c r="H14" s="13">
        <f>ROW()</f>
        <v>14</v>
      </c>
      <c r="I14" s="13" t="s">
        <v>55</v>
      </c>
      <c r="M14"/>
      <c r="N14"/>
      <c r="O14"/>
      <c r="P14"/>
      <c r="Q14"/>
      <c r="R14"/>
      <c r="S14"/>
      <c r="T14"/>
      <c r="U14"/>
    </row>
    <row r="15" spans="1:21" ht="16.5" x14ac:dyDescent="0.3">
      <c r="A15" s="13" t="s">
        <v>18</v>
      </c>
      <c r="B15" s="14">
        <v>42665</v>
      </c>
      <c r="C15" s="13" t="s">
        <v>51</v>
      </c>
      <c r="D15" s="15">
        <v>3</v>
      </c>
      <c r="E15" s="16">
        <v>21</v>
      </c>
      <c r="F15" s="16">
        <v>4.5</v>
      </c>
      <c r="G15" s="16">
        <v>2.5</v>
      </c>
      <c r="H15" s="13">
        <f>ROW()</f>
        <v>15</v>
      </c>
      <c r="I15" s="13" t="s">
        <v>55</v>
      </c>
      <c r="M15"/>
      <c r="N15"/>
      <c r="O15"/>
      <c r="P15"/>
      <c r="Q15"/>
      <c r="R15"/>
      <c r="S15"/>
      <c r="T15"/>
      <c r="U15"/>
    </row>
    <row r="16" spans="1:21" ht="16.5" x14ac:dyDescent="0.3">
      <c r="M16"/>
      <c r="N16"/>
      <c r="O16"/>
      <c r="P16"/>
      <c r="Q16"/>
      <c r="R16"/>
      <c r="S16"/>
      <c r="T16"/>
      <c r="U16"/>
    </row>
    <row r="17" spans="13:21" ht="16.5" x14ac:dyDescent="0.3">
      <c r="M17"/>
      <c r="N17"/>
      <c r="O17"/>
      <c r="P17"/>
      <c r="Q17"/>
      <c r="R17"/>
      <c r="S17"/>
      <c r="T17"/>
      <c r="U17"/>
    </row>
    <row r="18" spans="13:21" ht="16.5" x14ac:dyDescent="0.3">
      <c r="M18"/>
      <c r="N18"/>
      <c r="O18"/>
      <c r="P18"/>
      <c r="Q18"/>
      <c r="R18"/>
      <c r="S18"/>
      <c r="T18"/>
      <c r="U18"/>
    </row>
    <row r="19" spans="13:21" ht="16.5" x14ac:dyDescent="0.3">
      <c r="M19"/>
      <c r="N19"/>
      <c r="O19"/>
      <c r="P19"/>
      <c r="Q19"/>
      <c r="R19"/>
      <c r="S19"/>
      <c r="T19"/>
      <c r="U19"/>
    </row>
    <row r="20" spans="13:21" ht="16.5" x14ac:dyDescent="0.3">
      <c r="M20"/>
      <c r="N20"/>
      <c r="O20"/>
      <c r="P20"/>
      <c r="Q20"/>
      <c r="R20"/>
      <c r="S20"/>
      <c r="T20"/>
      <c r="U20"/>
    </row>
    <row r="21" spans="13:21" ht="16.5" x14ac:dyDescent="0.3">
      <c r="M21"/>
      <c r="N21"/>
      <c r="O21"/>
      <c r="P21"/>
      <c r="Q21"/>
      <c r="R21"/>
      <c r="S21"/>
      <c r="T21"/>
      <c r="U21"/>
    </row>
    <row r="22" spans="13:21" ht="16.5" x14ac:dyDescent="0.3">
      <c r="M22"/>
      <c r="N22"/>
      <c r="O22"/>
      <c r="P22"/>
      <c r="Q22"/>
      <c r="R22"/>
      <c r="S22"/>
      <c r="T22"/>
      <c r="U22"/>
    </row>
    <row r="23" spans="13:21" ht="16.5" x14ac:dyDescent="0.3">
      <c r="M23"/>
      <c r="N23"/>
      <c r="O23"/>
      <c r="P23"/>
      <c r="Q23"/>
      <c r="R23"/>
      <c r="S23"/>
      <c r="T23"/>
      <c r="U23"/>
    </row>
    <row r="24" spans="13:21" ht="16.5" x14ac:dyDescent="0.3">
      <c r="M24"/>
      <c r="N24"/>
      <c r="O24"/>
      <c r="P24"/>
      <c r="Q24"/>
      <c r="R24"/>
      <c r="S24"/>
      <c r="T24"/>
      <c r="U24"/>
    </row>
    <row r="25" spans="13:21" ht="16.5" x14ac:dyDescent="0.3">
      <c r="M25"/>
      <c r="N25"/>
      <c r="O25"/>
      <c r="P25"/>
      <c r="Q25"/>
      <c r="R25"/>
      <c r="S25"/>
      <c r="T25"/>
      <c r="U25"/>
    </row>
    <row r="26" spans="13:21" ht="16.5" x14ac:dyDescent="0.3">
      <c r="M26"/>
      <c r="N26"/>
      <c r="O26"/>
      <c r="P26"/>
      <c r="Q26"/>
      <c r="R26"/>
      <c r="S26"/>
      <c r="T26"/>
      <c r="U26"/>
    </row>
    <row r="27" spans="13:21" ht="16.5" x14ac:dyDescent="0.3">
      <c r="M27"/>
      <c r="N27"/>
      <c r="O27"/>
      <c r="P27"/>
      <c r="Q27"/>
      <c r="R27"/>
      <c r="S27"/>
      <c r="T27"/>
      <c r="U27"/>
    </row>
    <row r="28" spans="13:21" ht="16.5" x14ac:dyDescent="0.3">
      <c r="M28"/>
      <c r="N28"/>
      <c r="O28"/>
      <c r="P28"/>
      <c r="Q28"/>
      <c r="R28"/>
      <c r="S28"/>
      <c r="T28"/>
      <c r="U28"/>
    </row>
    <row r="29" spans="13:21" ht="16.5" x14ac:dyDescent="0.3">
      <c r="M29"/>
      <c r="N29"/>
      <c r="O29"/>
      <c r="P29"/>
      <c r="Q29"/>
      <c r="R29"/>
      <c r="S29"/>
      <c r="T29"/>
      <c r="U29"/>
    </row>
    <row r="30" spans="13:21" ht="16.5" x14ac:dyDescent="0.3">
      <c r="M30"/>
      <c r="N30"/>
      <c r="O30"/>
      <c r="P30"/>
      <c r="Q30"/>
      <c r="R30"/>
      <c r="S30"/>
      <c r="T30"/>
      <c r="U30"/>
    </row>
    <row r="31" spans="13:21" ht="16.5" x14ac:dyDescent="0.3">
      <c r="M31"/>
      <c r="N31"/>
      <c r="O31"/>
      <c r="P31"/>
      <c r="Q31"/>
      <c r="R31"/>
      <c r="S31"/>
      <c r="T31"/>
      <c r="U31"/>
    </row>
    <row r="32" spans="13:21" ht="16.5" x14ac:dyDescent="0.3">
      <c r="M32"/>
      <c r="N32"/>
      <c r="O32"/>
      <c r="P32"/>
      <c r="Q32"/>
      <c r="R32"/>
      <c r="S32"/>
      <c r="T32"/>
      <c r="U32"/>
    </row>
    <row r="33" spans="13:21" ht="16.5" x14ac:dyDescent="0.3">
      <c r="M33"/>
      <c r="N33"/>
      <c r="O33"/>
      <c r="P33"/>
      <c r="Q33"/>
      <c r="R33"/>
      <c r="S33"/>
      <c r="T33"/>
      <c r="U33"/>
    </row>
    <row r="34" spans="13:21" ht="16.5" x14ac:dyDescent="0.3">
      <c r="M34"/>
      <c r="N34"/>
      <c r="O34"/>
      <c r="P34"/>
      <c r="Q34"/>
      <c r="R34"/>
      <c r="S34"/>
      <c r="T34"/>
      <c r="U34"/>
    </row>
    <row r="35" spans="13:21" ht="16.5" x14ac:dyDescent="0.3">
      <c r="M35"/>
      <c r="N35"/>
      <c r="O35"/>
      <c r="P35"/>
      <c r="Q35"/>
      <c r="R35"/>
      <c r="S35"/>
      <c r="T35"/>
      <c r="U35"/>
    </row>
    <row r="36" spans="13:21" ht="16.5" x14ac:dyDescent="0.3">
      <c r="M36"/>
      <c r="N36"/>
      <c r="O36"/>
      <c r="P36"/>
      <c r="Q36"/>
      <c r="R36"/>
      <c r="S36"/>
      <c r="T36"/>
      <c r="U36"/>
    </row>
    <row r="37" spans="13:21" ht="16.5" x14ac:dyDescent="0.3">
      <c r="M37"/>
      <c r="N37"/>
      <c r="O37"/>
      <c r="P37"/>
      <c r="Q37"/>
      <c r="R37"/>
      <c r="S37"/>
      <c r="T37"/>
      <c r="U37"/>
    </row>
    <row r="38" spans="13:21" ht="16.5" x14ac:dyDescent="0.3">
      <c r="M38"/>
      <c r="N38"/>
      <c r="O38"/>
      <c r="P38"/>
      <c r="Q38"/>
      <c r="R38"/>
      <c r="S38"/>
      <c r="T38"/>
      <c r="U38"/>
    </row>
    <row r="39" spans="13:21" ht="16.5" x14ac:dyDescent="0.3">
      <c r="M39"/>
      <c r="N39"/>
      <c r="O39"/>
      <c r="P39"/>
      <c r="Q39"/>
      <c r="R39"/>
      <c r="S39"/>
      <c r="T39"/>
      <c r="U39"/>
    </row>
    <row r="40" spans="13:21" ht="16.5" x14ac:dyDescent="0.3">
      <c r="M40"/>
      <c r="N40"/>
      <c r="O40"/>
      <c r="P40"/>
      <c r="Q40"/>
      <c r="R40"/>
      <c r="S40"/>
      <c r="T40"/>
      <c r="U40"/>
    </row>
    <row r="41" spans="13:21" ht="16.5" x14ac:dyDescent="0.3">
      <c r="M41"/>
      <c r="N41"/>
      <c r="O41"/>
      <c r="P41"/>
      <c r="Q41"/>
      <c r="R41"/>
      <c r="S41"/>
      <c r="T41"/>
      <c r="U41"/>
    </row>
    <row r="42" spans="13:21" ht="16.5" x14ac:dyDescent="0.3">
      <c r="M42"/>
      <c r="N42"/>
      <c r="O42"/>
      <c r="P42"/>
      <c r="Q42"/>
      <c r="R42"/>
      <c r="S42"/>
      <c r="T42"/>
      <c r="U42"/>
    </row>
    <row r="43" spans="13:21" ht="16.5" x14ac:dyDescent="0.3">
      <c r="M43"/>
      <c r="N43"/>
      <c r="O43"/>
      <c r="P43"/>
      <c r="Q43"/>
      <c r="R43"/>
      <c r="S43"/>
      <c r="T43"/>
      <c r="U43"/>
    </row>
    <row r="44" spans="13:21" ht="16.5" x14ac:dyDescent="0.3">
      <c r="M44"/>
      <c r="N44"/>
      <c r="O44"/>
      <c r="P44"/>
      <c r="Q44"/>
      <c r="R44"/>
      <c r="S44"/>
      <c r="T44"/>
      <c r="U44"/>
    </row>
    <row r="45" spans="13:21" ht="16.5" x14ac:dyDescent="0.3">
      <c r="M45"/>
      <c r="N45"/>
      <c r="O45"/>
      <c r="P45"/>
      <c r="Q45"/>
      <c r="R45"/>
      <c r="S45"/>
      <c r="T45"/>
      <c r="U45"/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D280"/>
  <sheetViews>
    <sheetView showGridLines="0" showRowColHeaders="0" showZeros="0" workbookViewId="0">
      <selection activeCell="H17" sqref="H17"/>
    </sheetView>
  </sheetViews>
  <sheetFormatPr defaultRowHeight="15" x14ac:dyDescent="0.35"/>
  <cols>
    <col min="1" max="1" width="18.375" style="24" customWidth="1"/>
    <col min="2" max="2" width="8.625" style="25" customWidth="1"/>
    <col min="3" max="3" width="6.625" style="25" customWidth="1"/>
    <col min="4" max="4" width="5.375" style="25" customWidth="1"/>
    <col min="5" max="16384" width="9" style="23"/>
  </cols>
  <sheetData>
    <row r="1" spans="1:4" x14ac:dyDescent="0.35">
      <c r="A1" s="21" t="s">
        <v>26</v>
      </c>
      <c r="B1" s="22" t="s">
        <v>29</v>
      </c>
      <c r="C1" s="22" t="s">
        <v>27</v>
      </c>
      <c r="D1" s="22" t="s">
        <v>28</v>
      </c>
    </row>
    <row r="2" spans="1:4" x14ac:dyDescent="0.35">
      <c r="A2" s="24" t="s">
        <v>30</v>
      </c>
      <c r="B2" s="25">
        <v>25</v>
      </c>
      <c r="C2" s="25">
        <v>15</v>
      </c>
      <c r="D2" s="25">
        <f>B2-C2</f>
        <v>10</v>
      </c>
    </row>
    <row r="3" spans="1:4" x14ac:dyDescent="0.35">
      <c r="A3" s="24" t="s">
        <v>31</v>
      </c>
      <c r="B3" s="25">
        <v>4</v>
      </c>
      <c r="C3" s="25">
        <v>2.1</v>
      </c>
      <c r="D3" s="25">
        <f t="shared" ref="D3:D66" si="0">B3-C3</f>
        <v>1.9</v>
      </c>
    </row>
    <row r="4" spans="1:4" x14ac:dyDescent="0.35">
      <c r="A4" s="24" t="s">
        <v>32</v>
      </c>
      <c r="B4" s="25">
        <v>4</v>
      </c>
      <c r="C4" s="25">
        <v>1.8</v>
      </c>
      <c r="D4" s="25">
        <f t="shared" si="0"/>
        <v>2.2000000000000002</v>
      </c>
    </row>
    <row r="5" spans="1:4" x14ac:dyDescent="0.35">
      <c r="A5" s="24" t="s">
        <v>33</v>
      </c>
      <c r="B5" s="25">
        <v>5</v>
      </c>
      <c r="C5" s="25">
        <v>3</v>
      </c>
      <c r="D5" s="25">
        <f t="shared" si="0"/>
        <v>2</v>
      </c>
    </row>
    <row r="6" spans="1:4" x14ac:dyDescent="0.35">
      <c r="A6" s="24" t="s">
        <v>34</v>
      </c>
      <c r="B6" s="25">
        <v>1.5</v>
      </c>
      <c r="C6" s="25">
        <v>0.4</v>
      </c>
      <c r="D6" s="25">
        <f t="shared" si="0"/>
        <v>1.1000000000000001</v>
      </c>
    </row>
    <row r="7" spans="1:4" x14ac:dyDescent="0.35">
      <c r="A7" s="24" t="s">
        <v>35</v>
      </c>
      <c r="B7" s="25">
        <v>2.5</v>
      </c>
      <c r="C7" s="25">
        <v>0.8</v>
      </c>
      <c r="D7" s="25">
        <f t="shared" si="0"/>
        <v>1.7</v>
      </c>
    </row>
    <row r="8" spans="1:4" x14ac:dyDescent="0.35">
      <c r="A8" s="24" t="s">
        <v>45</v>
      </c>
      <c r="B8" s="25">
        <v>5</v>
      </c>
      <c r="C8" s="25">
        <v>1.5</v>
      </c>
      <c r="D8" s="25">
        <f t="shared" si="0"/>
        <v>3.5</v>
      </c>
    </row>
    <row r="9" spans="1:4" x14ac:dyDescent="0.35">
      <c r="A9" s="24" t="s">
        <v>46</v>
      </c>
      <c r="B9" s="25">
        <v>6</v>
      </c>
      <c r="C9" s="25">
        <v>2</v>
      </c>
      <c r="D9" s="25">
        <f t="shared" si="0"/>
        <v>4</v>
      </c>
    </row>
    <row r="10" spans="1:4" x14ac:dyDescent="0.35">
      <c r="A10" s="24" t="s">
        <v>47</v>
      </c>
      <c r="B10" s="25">
        <v>4</v>
      </c>
      <c r="C10" s="25">
        <v>2</v>
      </c>
      <c r="D10" s="25">
        <f t="shared" si="0"/>
        <v>2</v>
      </c>
    </row>
    <row r="11" spans="1:4" x14ac:dyDescent="0.35">
      <c r="A11" s="24" t="s">
        <v>48</v>
      </c>
      <c r="B11" s="25">
        <v>2</v>
      </c>
      <c r="C11" s="25">
        <v>1</v>
      </c>
      <c r="D11" s="25">
        <f t="shared" si="0"/>
        <v>1</v>
      </c>
    </row>
    <row r="12" spans="1:4" x14ac:dyDescent="0.35">
      <c r="A12" s="24" t="s">
        <v>49</v>
      </c>
      <c r="B12" s="25">
        <v>12</v>
      </c>
      <c r="C12" s="25">
        <v>7</v>
      </c>
      <c r="D12" s="25">
        <f t="shared" si="0"/>
        <v>5</v>
      </c>
    </row>
    <row r="13" spans="1:4" x14ac:dyDescent="0.35">
      <c r="A13" s="24" t="s">
        <v>50</v>
      </c>
      <c r="B13" s="25">
        <v>10</v>
      </c>
      <c r="C13" s="25">
        <v>5</v>
      </c>
      <c r="D13" s="25">
        <f t="shared" si="0"/>
        <v>5</v>
      </c>
    </row>
    <row r="14" spans="1:4" x14ac:dyDescent="0.35">
      <c r="A14" s="24" t="s">
        <v>51</v>
      </c>
      <c r="B14" s="25">
        <v>7</v>
      </c>
      <c r="C14" s="25">
        <v>4.5</v>
      </c>
      <c r="D14" s="25">
        <f t="shared" si="0"/>
        <v>2.5</v>
      </c>
    </row>
    <row r="15" spans="1:4" x14ac:dyDescent="0.35">
      <c r="A15" s="24" t="s">
        <v>52</v>
      </c>
      <c r="B15" s="25">
        <v>7</v>
      </c>
      <c r="C15" s="25">
        <v>4.5</v>
      </c>
      <c r="D15" s="25">
        <f t="shared" si="0"/>
        <v>2.5</v>
      </c>
    </row>
    <row r="16" spans="1:4" x14ac:dyDescent="0.35">
      <c r="A16" s="24" t="s">
        <v>53</v>
      </c>
      <c r="B16" s="25">
        <v>10</v>
      </c>
      <c r="C16" s="25">
        <v>4</v>
      </c>
      <c r="D16" s="25">
        <f t="shared" si="0"/>
        <v>6</v>
      </c>
    </row>
    <row r="17" spans="4:4" x14ac:dyDescent="0.35">
      <c r="D17" s="25">
        <f t="shared" si="0"/>
        <v>0</v>
      </c>
    </row>
    <row r="18" spans="4:4" x14ac:dyDescent="0.35">
      <c r="D18" s="25">
        <f t="shared" si="0"/>
        <v>0</v>
      </c>
    </row>
    <row r="19" spans="4:4" x14ac:dyDescent="0.35">
      <c r="D19" s="25">
        <f t="shared" si="0"/>
        <v>0</v>
      </c>
    </row>
    <row r="20" spans="4:4" x14ac:dyDescent="0.35">
      <c r="D20" s="25">
        <f t="shared" si="0"/>
        <v>0</v>
      </c>
    </row>
    <row r="21" spans="4:4" x14ac:dyDescent="0.35">
      <c r="D21" s="25">
        <f t="shared" si="0"/>
        <v>0</v>
      </c>
    </row>
    <row r="22" spans="4:4" x14ac:dyDescent="0.35">
      <c r="D22" s="25">
        <f t="shared" si="0"/>
        <v>0</v>
      </c>
    </row>
    <row r="23" spans="4:4" x14ac:dyDescent="0.35">
      <c r="D23" s="25">
        <f t="shared" si="0"/>
        <v>0</v>
      </c>
    </row>
    <row r="24" spans="4:4" x14ac:dyDescent="0.35">
      <c r="D24" s="25">
        <f t="shared" si="0"/>
        <v>0</v>
      </c>
    </row>
    <row r="25" spans="4:4" x14ac:dyDescent="0.35">
      <c r="D25" s="25">
        <f t="shared" si="0"/>
        <v>0</v>
      </c>
    </row>
    <row r="26" spans="4:4" x14ac:dyDescent="0.35">
      <c r="D26" s="25">
        <f t="shared" si="0"/>
        <v>0</v>
      </c>
    </row>
    <row r="27" spans="4:4" x14ac:dyDescent="0.35">
      <c r="D27" s="25">
        <f t="shared" si="0"/>
        <v>0</v>
      </c>
    </row>
    <row r="28" spans="4:4" x14ac:dyDescent="0.35">
      <c r="D28" s="25">
        <f t="shared" si="0"/>
        <v>0</v>
      </c>
    </row>
    <row r="29" spans="4:4" x14ac:dyDescent="0.35">
      <c r="D29" s="25">
        <f t="shared" si="0"/>
        <v>0</v>
      </c>
    </row>
    <row r="30" spans="4:4" x14ac:dyDescent="0.35">
      <c r="D30" s="25">
        <f t="shared" si="0"/>
        <v>0</v>
      </c>
    </row>
    <row r="31" spans="4:4" x14ac:dyDescent="0.35">
      <c r="D31" s="25">
        <f t="shared" si="0"/>
        <v>0</v>
      </c>
    </row>
    <row r="32" spans="4:4" x14ac:dyDescent="0.35">
      <c r="D32" s="25">
        <f t="shared" si="0"/>
        <v>0</v>
      </c>
    </row>
    <row r="33" spans="4:4" x14ac:dyDescent="0.35">
      <c r="D33" s="25">
        <f t="shared" si="0"/>
        <v>0</v>
      </c>
    </row>
    <row r="34" spans="4:4" x14ac:dyDescent="0.35">
      <c r="D34" s="25">
        <f t="shared" si="0"/>
        <v>0</v>
      </c>
    </row>
    <row r="35" spans="4:4" x14ac:dyDescent="0.35">
      <c r="D35" s="25">
        <f t="shared" si="0"/>
        <v>0</v>
      </c>
    </row>
    <row r="36" spans="4:4" x14ac:dyDescent="0.35">
      <c r="D36" s="25">
        <f t="shared" si="0"/>
        <v>0</v>
      </c>
    </row>
    <row r="37" spans="4:4" x14ac:dyDescent="0.35">
      <c r="D37" s="25">
        <f t="shared" si="0"/>
        <v>0</v>
      </c>
    </row>
    <row r="38" spans="4:4" x14ac:dyDescent="0.35">
      <c r="D38" s="25">
        <f t="shared" si="0"/>
        <v>0</v>
      </c>
    </row>
    <row r="39" spans="4:4" x14ac:dyDescent="0.35">
      <c r="D39" s="25">
        <f t="shared" si="0"/>
        <v>0</v>
      </c>
    </row>
    <row r="40" spans="4:4" x14ac:dyDescent="0.35">
      <c r="D40" s="25">
        <f t="shared" si="0"/>
        <v>0</v>
      </c>
    </row>
    <row r="41" spans="4:4" x14ac:dyDescent="0.35">
      <c r="D41" s="25">
        <f t="shared" si="0"/>
        <v>0</v>
      </c>
    </row>
    <row r="42" spans="4:4" x14ac:dyDescent="0.35">
      <c r="D42" s="25">
        <f t="shared" si="0"/>
        <v>0</v>
      </c>
    </row>
    <row r="43" spans="4:4" x14ac:dyDescent="0.35">
      <c r="D43" s="25">
        <f t="shared" si="0"/>
        <v>0</v>
      </c>
    </row>
    <row r="44" spans="4:4" x14ac:dyDescent="0.35">
      <c r="D44" s="25">
        <f t="shared" si="0"/>
        <v>0</v>
      </c>
    </row>
    <row r="45" spans="4:4" x14ac:dyDescent="0.35">
      <c r="D45" s="25">
        <f t="shared" si="0"/>
        <v>0</v>
      </c>
    </row>
    <row r="46" spans="4:4" x14ac:dyDescent="0.35">
      <c r="D46" s="25">
        <f t="shared" si="0"/>
        <v>0</v>
      </c>
    </row>
    <row r="47" spans="4:4" x14ac:dyDescent="0.35">
      <c r="D47" s="25">
        <f t="shared" si="0"/>
        <v>0</v>
      </c>
    </row>
    <row r="48" spans="4:4" x14ac:dyDescent="0.35">
      <c r="D48" s="25">
        <f t="shared" si="0"/>
        <v>0</v>
      </c>
    </row>
    <row r="49" spans="4:4" x14ac:dyDescent="0.35">
      <c r="D49" s="25">
        <f t="shared" si="0"/>
        <v>0</v>
      </c>
    </row>
    <row r="50" spans="4:4" x14ac:dyDescent="0.35">
      <c r="D50" s="25">
        <f t="shared" si="0"/>
        <v>0</v>
      </c>
    </row>
    <row r="51" spans="4:4" x14ac:dyDescent="0.35">
      <c r="D51" s="25">
        <f t="shared" si="0"/>
        <v>0</v>
      </c>
    </row>
    <row r="52" spans="4:4" x14ac:dyDescent="0.35">
      <c r="D52" s="25">
        <f t="shared" si="0"/>
        <v>0</v>
      </c>
    </row>
    <row r="53" spans="4:4" x14ac:dyDescent="0.35">
      <c r="D53" s="25">
        <f t="shared" si="0"/>
        <v>0</v>
      </c>
    </row>
    <row r="54" spans="4:4" x14ac:dyDescent="0.35">
      <c r="D54" s="25">
        <f t="shared" si="0"/>
        <v>0</v>
      </c>
    </row>
    <row r="55" spans="4:4" x14ac:dyDescent="0.35">
      <c r="D55" s="25">
        <f t="shared" si="0"/>
        <v>0</v>
      </c>
    </row>
    <row r="56" spans="4:4" x14ac:dyDescent="0.35">
      <c r="D56" s="25">
        <f t="shared" si="0"/>
        <v>0</v>
      </c>
    </row>
    <row r="57" spans="4:4" x14ac:dyDescent="0.35">
      <c r="D57" s="25">
        <f t="shared" si="0"/>
        <v>0</v>
      </c>
    </row>
    <row r="58" spans="4:4" x14ac:dyDescent="0.35">
      <c r="D58" s="25">
        <f t="shared" si="0"/>
        <v>0</v>
      </c>
    </row>
    <row r="59" spans="4:4" x14ac:dyDescent="0.35">
      <c r="D59" s="25">
        <f t="shared" si="0"/>
        <v>0</v>
      </c>
    </row>
    <row r="60" spans="4:4" x14ac:dyDescent="0.35">
      <c r="D60" s="25">
        <f t="shared" si="0"/>
        <v>0</v>
      </c>
    </row>
    <row r="61" spans="4:4" x14ac:dyDescent="0.35">
      <c r="D61" s="25">
        <f t="shared" si="0"/>
        <v>0</v>
      </c>
    </row>
    <row r="62" spans="4:4" x14ac:dyDescent="0.35">
      <c r="D62" s="25">
        <f t="shared" si="0"/>
        <v>0</v>
      </c>
    </row>
    <row r="63" spans="4:4" x14ac:dyDescent="0.35">
      <c r="D63" s="25">
        <f t="shared" si="0"/>
        <v>0</v>
      </c>
    </row>
    <row r="64" spans="4:4" x14ac:dyDescent="0.35">
      <c r="D64" s="25">
        <f t="shared" si="0"/>
        <v>0</v>
      </c>
    </row>
    <row r="65" spans="4:4" x14ac:dyDescent="0.35">
      <c r="D65" s="25">
        <f t="shared" si="0"/>
        <v>0</v>
      </c>
    </row>
    <row r="66" spans="4:4" x14ac:dyDescent="0.35">
      <c r="D66" s="25">
        <f t="shared" si="0"/>
        <v>0</v>
      </c>
    </row>
    <row r="67" spans="4:4" x14ac:dyDescent="0.35">
      <c r="D67" s="25">
        <f t="shared" ref="D67:D130" si="1">B67-C67</f>
        <v>0</v>
      </c>
    </row>
    <row r="68" spans="4:4" x14ac:dyDescent="0.35">
      <c r="D68" s="25">
        <f t="shared" si="1"/>
        <v>0</v>
      </c>
    </row>
    <row r="69" spans="4:4" x14ac:dyDescent="0.35">
      <c r="D69" s="25">
        <f t="shared" si="1"/>
        <v>0</v>
      </c>
    </row>
    <row r="70" spans="4:4" x14ac:dyDescent="0.35">
      <c r="D70" s="25">
        <f t="shared" si="1"/>
        <v>0</v>
      </c>
    </row>
    <row r="71" spans="4:4" x14ac:dyDescent="0.35">
      <c r="D71" s="25">
        <f t="shared" si="1"/>
        <v>0</v>
      </c>
    </row>
    <row r="72" spans="4:4" x14ac:dyDescent="0.35">
      <c r="D72" s="25">
        <f t="shared" si="1"/>
        <v>0</v>
      </c>
    </row>
    <row r="73" spans="4:4" x14ac:dyDescent="0.35">
      <c r="D73" s="25">
        <f t="shared" si="1"/>
        <v>0</v>
      </c>
    </row>
    <row r="74" spans="4:4" x14ac:dyDescent="0.35">
      <c r="D74" s="25">
        <f t="shared" si="1"/>
        <v>0</v>
      </c>
    </row>
    <row r="75" spans="4:4" x14ac:dyDescent="0.35">
      <c r="D75" s="25">
        <f t="shared" si="1"/>
        <v>0</v>
      </c>
    </row>
    <row r="76" spans="4:4" x14ac:dyDescent="0.35">
      <c r="D76" s="25">
        <f t="shared" si="1"/>
        <v>0</v>
      </c>
    </row>
    <row r="77" spans="4:4" x14ac:dyDescent="0.35">
      <c r="D77" s="25">
        <f t="shared" si="1"/>
        <v>0</v>
      </c>
    </row>
    <row r="78" spans="4:4" x14ac:dyDescent="0.35">
      <c r="D78" s="25">
        <f t="shared" si="1"/>
        <v>0</v>
      </c>
    </row>
    <row r="79" spans="4:4" x14ac:dyDescent="0.35">
      <c r="D79" s="25">
        <f t="shared" si="1"/>
        <v>0</v>
      </c>
    </row>
    <row r="80" spans="4:4" x14ac:dyDescent="0.35">
      <c r="D80" s="25">
        <f t="shared" si="1"/>
        <v>0</v>
      </c>
    </row>
    <row r="81" spans="4:4" x14ac:dyDescent="0.35">
      <c r="D81" s="25">
        <f t="shared" si="1"/>
        <v>0</v>
      </c>
    </row>
    <row r="82" spans="4:4" x14ac:dyDescent="0.35">
      <c r="D82" s="25">
        <f t="shared" si="1"/>
        <v>0</v>
      </c>
    </row>
    <row r="83" spans="4:4" x14ac:dyDescent="0.35">
      <c r="D83" s="25">
        <f t="shared" si="1"/>
        <v>0</v>
      </c>
    </row>
    <row r="84" spans="4:4" x14ac:dyDescent="0.35">
      <c r="D84" s="25">
        <f t="shared" si="1"/>
        <v>0</v>
      </c>
    </row>
    <row r="85" spans="4:4" x14ac:dyDescent="0.35">
      <c r="D85" s="25">
        <f t="shared" si="1"/>
        <v>0</v>
      </c>
    </row>
    <row r="86" spans="4:4" x14ac:dyDescent="0.35">
      <c r="D86" s="25">
        <f t="shared" si="1"/>
        <v>0</v>
      </c>
    </row>
    <row r="87" spans="4:4" x14ac:dyDescent="0.35">
      <c r="D87" s="25">
        <f t="shared" si="1"/>
        <v>0</v>
      </c>
    </row>
    <row r="88" spans="4:4" x14ac:dyDescent="0.35">
      <c r="D88" s="25">
        <f t="shared" si="1"/>
        <v>0</v>
      </c>
    </row>
    <row r="89" spans="4:4" x14ac:dyDescent="0.35">
      <c r="D89" s="25">
        <f t="shared" si="1"/>
        <v>0</v>
      </c>
    </row>
    <row r="90" spans="4:4" x14ac:dyDescent="0.35">
      <c r="D90" s="25">
        <f t="shared" si="1"/>
        <v>0</v>
      </c>
    </row>
    <row r="91" spans="4:4" x14ac:dyDescent="0.35">
      <c r="D91" s="25">
        <f t="shared" si="1"/>
        <v>0</v>
      </c>
    </row>
    <row r="92" spans="4:4" x14ac:dyDescent="0.35">
      <c r="D92" s="25">
        <f t="shared" si="1"/>
        <v>0</v>
      </c>
    </row>
    <row r="93" spans="4:4" x14ac:dyDescent="0.35">
      <c r="D93" s="25">
        <f t="shared" si="1"/>
        <v>0</v>
      </c>
    </row>
    <row r="94" spans="4:4" x14ac:dyDescent="0.35">
      <c r="D94" s="25">
        <f t="shared" si="1"/>
        <v>0</v>
      </c>
    </row>
    <row r="95" spans="4:4" x14ac:dyDescent="0.35">
      <c r="D95" s="25">
        <f t="shared" si="1"/>
        <v>0</v>
      </c>
    </row>
    <row r="96" spans="4:4" x14ac:dyDescent="0.35">
      <c r="D96" s="25">
        <f t="shared" si="1"/>
        <v>0</v>
      </c>
    </row>
    <row r="97" spans="4:4" x14ac:dyDescent="0.35">
      <c r="D97" s="25">
        <f t="shared" si="1"/>
        <v>0</v>
      </c>
    </row>
    <row r="98" spans="4:4" x14ac:dyDescent="0.35">
      <c r="D98" s="25">
        <f t="shared" si="1"/>
        <v>0</v>
      </c>
    </row>
    <row r="99" spans="4:4" x14ac:dyDescent="0.35">
      <c r="D99" s="25">
        <f t="shared" si="1"/>
        <v>0</v>
      </c>
    </row>
    <row r="100" spans="4:4" x14ac:dyDescent="0.35">
      <c r="D100" s="25">
        <f t="shared" si="1"/>
        <v>0</v>
      </c>
    </row>
    <row r="101" spans="4:4" x14ac:dyDescent="0.35">
      <c r="D101" s="25">
        <f t="shared" si="1"/>
        <v>0</v>
      </c>
    </row>
    <row r="102" spans="4:4" x14ac:dyDescent="0.35">
      <c r="D102" s="25">
        <f t="shared" si="1"/>
        <v>0</v>
      </c>
    </row>
    <row r="103" spans="4:4" x14ac:dyDescent="0.35">
      <c r="D103" s="25">
        <f t="shared" si="1"/>
        <v>0</v>
      </c>
    </row>
    <row r="104" spans="4:4" x14ac:dyDescent="0.35">
      <c r="D104" s="25">
        <f t="shared" si="1"/>
        <v>0</v>
      </c>
    </row>
    <row r="105" spans="4:4" x14ac:dyDescent="0.35">
      <c r="D105" s="25">
        <f t="shared" si="1"/>
        <v>0</v>
      </c>
    </row>
    <row r="106" spans="4:4" x14ac:dyDescent="0.35">
      <c r="D106" s="25">
        <f t="shared" si="1"/>
        <v>0</v>
      </c>
    </row>
    <row r="107" spans="4:4" x14ac:dyDescent="0.35">
      <c r="D107" s="25">
        <f t="shared" si="1"/>
        <v>0</v>
      </c>
    </row>
    <row r="108" spans="4:4" x14ac:dyDescent="0.35">
      <c r="D108" s="25">
        <f t="shared" si="1"/>
        <v>0</v>
      </c>
    </row>
    <row r="109" spans="4:4" x14ac:dyDescent="0.35">
      <c r="D109" s="25">
        <f t="shared" si="1"/>
        <v>0</v>
      </c>
    </row>
    <row r="110" spans="4:4" x14ac:dyDescent="0.35">
      <c r="D110" s="25">
        <f t="shared" si="1"/>
        <v>0</v>
      </c>
    </row>
    <row r="111" spans="4:4" x14ac:dyDescent="0.35">
      <c r="D111" s="25">
        <f t="shared" si="1"/>
        <v>0</v>
      </c>
    </row>
    <row r="112" spans="4:4" x14ac:dyDescent="0.35">
      <c r="D112" s="25">
        <f t="shared" si="1"/>
        <v>0</v>
      </c>
    </row>
    <row r="113" spans="4:4" x14ac:dyDescent="0.35">
      <c r="D113" s="25">
        <f t="shared" si="1"/>
        <v>0</v>
      </c>
    </row>
    <row r="114" spans="4:4" x14ac:dyDescent="0.35">
      <c r="D114" s="25">
        <f t="shared" si="1"/>
        <v>0</v>
      </c>
    </row>
    <row r="115" spans="4:4" x14ac:dyDescent="0.35">
      <c r="D115" s="25">
        <f t="shared" si="1"/>
        <v>0</v>
      </c>
    </row>
    <row r="116" spans="4:4" x14ac:dyDescent="0.35">
      <c r="D116" s="25">
        <f t="shared" si="1"/>
        <v>0</v>
      </c>
    </row>
    <row r="117" spans="4:4" x14ac:dyDescent="0.35">
      <c r="D117" s="25">
        <f t="shared" si="1"/>
        <v>0</v>
      </c>
    </row>
    <row r="118" spans="4:4" x14ac:dyDescent="0.35">
      <c r="D118" s="25">
        <f t="shared" si="1"/>
        <v>0</v>
      </c>
    </row>
    <row r="119" spans="4:4" x14ac:dyDescent="0.35">
      <c r="D119" s="25">
        <f t="shared" si="1"/>
        <v>0</v>
      </c>
    </row>
    <row r="120" spans="4:4" x14ac:dyDescent="0.35">
      <c r="D120" s="25">
        <f t="shared" si="1"/>
        <v>0</v>
      </c>
    </row>
    <row r="121" spans="4:4" x14ac:dyDescent="0.35">
      <c r="D121" s="25">
        <f t="shared" si="1"/>
        <v>0</v>
      </c>
    </row>
    <row r="122" spans="4:4" x14ac:dyDescent="0.35">
      <c r="D122" s="25">
        <f t="shared" si="1"/>
        <v>0</v>
      </c>
    </row>
    <row r="123" spans="4:4" x14ac:dyDescent="0.35">
      <c r="D123" s="25">
        <f t="shared" si="1"/>
        <v>0</v>
      </c>
    </row>
    <row r="124" spans="4:4" x14ac:dyDescent="0.35">
      <c r="D124" s="25">
        <f t="shared" si="1"/>
        <v>0</v>
      </c>
    </row>
    <row r="125" spans="4:4" x14ac:dyDescent="0.35">
      <c r="D125" s="25">
        <f t="shared" si="1"/>
        <v>0</v>
      </c>
    </row>
    <row r="126" spans="4:4" x14ac:dyDescent="0.35">
      <c r="D126" s="25">
        <f t="shared" si="1"/>
        <v>0</v>
      </c>
    </row>
    <row r="127" spans="4:4" x14ac:dyDescent="0.35">
      <c r="D127" s="25">
        <f t="shared" si="1"/>
        <v>0</v>
      </c>
    </row>
    <row r="128" spans="4:4" x14ac:dyDescent="0.35">
      <c r="D128" s="25">
        <f t="shared" si="1"/>
        <v>0</v>
      </c>
    </row>
    <row r="129" spans="4:4" x14ac:dyDescent="0.35">
      <c r="D129" s="25">
        <f t="shared" si="1"/>
        <v>0</v>
      </c>
    </row>
    <row r="130" spans="4:4" x14ac:dyDescent="0.35">
      <c r="D130" s="25">
        <f t="shared" si="1"/>
        <v>0</v>
      </c>
    </row>
    <row r="131" spans="4:4" x14ac:dyDescent="0.35">
      <c r="D131" s="25">
        <f t="shared" ref="D131:D194" si="2">B131-C131</f>
        <v>0</v>
      </c>
    </row>
    <row r="132" spans="4:4" x14ac:dyDescent="0.35">
      <c r="D132" s="25">
        <f t="shared" si="2"/>
        <v>0</v>
      </c>
    </row>
    <row r="133" spans="4:4" x14ac:dyDescent="0.35">
      <c r="D133" s="25">
        <f t="shared" si="2"/>
        <v>0</v>
      </c>
    </row>
    <row r="134" spans="4:4" x14ac:dyDescent="0.35">
      <c r="D134" s="25">
        <f t="shared" si="2"/>
        <v>0</v>
      </c>
    </row>
    <row r="135" spans="4:4" x14ac:dyDescent="0.35">
      <c r="D135" s="25">
        <f t="shared" si="2"/>
        <v>0</v>
      </c>
    </row>
    <row r="136" spans="4:4" x14ac:dyDescent="0.35">
      <c r="D136" s="25">
        <f t="shared" si="2"/>
        <v>0</v>
      </c>
    </row>
    <row r="137" spans="4:4" x14ac:dyDescent="0.35">
      <c r="D137" s="25">
        <f t="shared" si="2"/>
        <v>0</v>
      </c>
    </row>
    <row r="138" spans="4:4" x14ac:dyDescent="0.35">
      <c r="D138" s="25">
        <f t="shared" si="2"/>
        <v>0</v>
      </c>
    </row>
    <row r="139" spans="4:4" x14ac:dyDescent="0.35">
      <c r="D139" s="25">
        <f t="shared" si="2"/>
        <v>0</v>
      </c>
    </row>
    <row r="140" spans="4:4" x14ac:dyDescent="0.35">
      <c r="D140" s="25">
        <f t="shared" si="2"/>
        <v>0</v>
      </c>
    </row>
    <row r="141" spans="4:4" x14ac:dyDescent="0.35">
      <c r="D141" s="25">
        <f t="shared" si="2"/>
        <v>0</v>
      </c>
    </row>
    <row r="142" spans="4:4" x14ac:dyDescent="0.35">
      <c r="D142" s="25">
        <f t="shared" si="2"/>
        <v>0</v>
      </c>
    </row>
    <row r="143" spans="4:4" x14ac:dyDescent="0.35">
      <c r="D143" s="25">
        <f t="shared" si="2"/>
        <v>0</v>
      </c>
    </row>
    <row r="144" spans="4:4" x14ac:dyDescent="0.35">
      <c r="D144" s="25">
        <f t="shared" si="2"/>
        <v>0</v>
      </c>
    </row>
    <row r="145" spans="4:4" x14ac:dyDescent="0.35">
      <c r="D145" s="25">
        <f t="shared" si="2"/>
        <v>0</v>
      </c>
    </row>
    <row r="146" spans="4:4" x14ac:dyDescent="0.35">
      <c r="D146" s="25">
        <f t="shared" si="2"/>
        <v>0</v>
      </c>
    </row>
    <row r="147" spans="4:4" x14ac:dyDescent="0.35">
      <c r="D147" s="25">
        <f t="shared" si="2"/>
        <v>0</v>
      </c>
    </row>
    <row r="148" spans="4:4" x14ac:dyDescent="0.35">
      <c r="D148" s="25">
        <f t="shared" si="2"/>
        <v>0</v>
      </c>
    </row>
    <row r="149" spans="4:4" x14ac:dyDescent="0.35">
      <c r="D149" s="25">
        <f t="shared" si="2"/>
        <v>0</v>
      </c>
    </row>
    <row r="150" spans="4:4" x14ac:dyDescent="0.35">
      <c r="D150" s="25">
        <f t="shared" si="2"/>
        <v>0</v>
      </c>
    </row>
    <row r="151" spans="4:4" x14ac:dyDescent="0.35">
      <c r="D151" s="25">
        <f t="shared" si="2"/>
        <v>0</v>
      </c>
    </row>
    <row r="152" spans="4:4" x14ac:dyDescent="0.35">
      <c r="D152" s="25">
        <f t="shared" si="2"/>
        <v>0</v>
      </c>
    </row>
    <row r="153" spans="4:4" x14ac:dyDescent="0.35">
      <c r="D153" s="25">
        <f t="shared" si="2"/>
        <v>0</v>
      </c>
    </row>
    <row r="154" spans="4:4" x14ac:dyDescent="0.35">
      <c r="D154" s="25">
        <f t="shared" si="2"/>
        <v>0</v>
      </c>
    </row>
    <row r="155" spans="4:4" x14ac:dyDescent="0.35">
      <c r="D155" s="25">
        <f t="shared" si="2"/>
        <v>0</v>
      </c>
    </row>
    <row r="156" spans="4:4" x14ac:dyDescent="0.35">
      <c r="D156" s="25">
        <f t="shared" si="2"/>
        <v>0</v>
      </c>
    </row>
    <row r="157" spans="4:4" x14ac:dyDescent="0.35">
      <c r="D157" s="25">
        <f t="shared" si="2"/>
        <v>0</v>
      </c>
    </row>
    <row r="158" spans="4:4" x14ac:dyDescent="0.35">
      <c r="D158" s="25">
        <f t="shared" si="2"/>
        <v>0</v>
      </c>
    </row>
    <row r="159" spans="4:4" x14ac:dyDescent="0.35">
      <c r="D159" s="25">
        <f t="shared" si="2"/>
        <v>0</v>
      </c>
    </row>
    <row r="160" spans="4:4" x14ac:dyDescent="0.35">
      <c r="D160" s="25">
        <f t="shared" si="2"/>
        <v>0</v>
      </c>
    </row>
    <row r="161" spans="4:4" x14ac:dyDescent="0.35">
      <c r="D161" s="25">
        <f t="shared" si="2"/>
        <v>0</v>
      </c>
    </row>
    <row r="162" spans="4:4" x14ac:dyDescent="0.35">
      <c r="D162" s="25">
        <f t="shared" si="2"/>
        <v>0</v>
      </c>
    </row>
    <row r="163" spans="4:4" x14ac:dyDescent="0.35">
      <c r="D163" s="25">
        <f t="shared" si="2"/>
        <v>0</v>
      </c>
    </row>
    <row r="164" spans="4:4" x14ac:dyDescent="0.35">
      <c r="D164" s="25">
        <f t="shared" si="2"/>
        <v>0</v>
      </c>
    </row>
    <row r="165" spans="4:4" x14ac:dyDescent="0.35">
      <c r="D165" s="25">
        <f t="shared" si="2"/>
        <v>0</v>
      </c>
    </row>
    <row r="166" spans="4:4" x14ac:dyDescent="0.35">
      <c r="D166" s="25">
        <f t="shared" si="2"/>
        <v>0</v>
      </c>
    </row>
    <row r="167" spans="4:4" x14ac:dyDescent="0.35">
      <c r="D167" s="25">
        <f t="shared" si="2"/>
        <v>0</v>
      </c>
    </row>
    <row r="168" spans="4:4" x14ac:dyDescent="0.35">
      <c r="D168" s="25">
        <f t="shared" si="2"/>
        <v>0</v>
      </c>
    </row>
    <row r="169" spans="4:4" x14ac:dyDescent="0.35">
      <c r="D169" s="25">
        <f t="shared" si="2"/>
        <v>0</v>
      </c>
    </row>
    <row r="170" spans="4:4" x14ac:dyDescent="0.35">
      <c r="D170" s="25">
        <f t="shared" si="2"/>
        <v>0</v>
      </c>
    </row>
    <row r="171" spans="4:4" x14ac:dyDescent="0.35">
      <c r="D171" s="25">
        <f t="shared" si="2"/>
        <v>0</v>
      </c>
    </row>
    <row r="172" spans="4:4" x14ac:dyDescent="0.35">
      <c r="D172" s="25">
        <f t="shared" si="2"/>
        <v>0</v>
      </c>
    </row>
    <row r="173" spans="4:4" x14ac:dyDescent="0.35">
      <c r="D173" s="25">
        <f t="shared" si="2"/>
        <v>0</v>
      </c>
    </row>
    <row r="174" spans="4:4" x14ac:dyDescent="0.35">
      <c r="D174" s="25">
        <f t="shared" si="2"/>
        <v>0</v>
      </c>
    </row>
    <row r="175" spans="4:4" x14ac:dyDescent="0.35">
      <c r="D175" s="25">
        <f t="shared" si="2"/>
        <v>0</v>
      </c>
    </row>
    <row r="176" spans="4:4" x14ac:dyDescent="0.35">
      <c r="D176" s="25">
        <f t="shared" si="2"/>
        <v>0</v>
      </c>
    </row>
    <row r="177" spans="4:4" x14ac:dyDescent="0.35">
      <c r="D177" s="25">
        <f t="shared" si="2"/>
        <v>0</v>
      </c>
    </row>
    <row r="178" spans="4:4" x14ac:dyDescent="0.35">
      <c r="D178" s="25">
        <f t="shared" si="2"/>
        <v>0</v>
      </c>
    </row>
    <row r="179" spans="4:4" x14ac:dyDescent="0.35">
      <c r="D179" s="25">
        <f t="shared" si="2"/>
        <v>0</v>
      </c>
    </row>
    <row r="180" spans="4:4" x14ac:dyDescent="0.35">
      <c r="D180" s="25">
        <f t="shared" si="2"/>
        <v>0</v>
      </c>
    </row>
    <row r="181" spans="4:4" x14ac:dyDescent="0.35">
      <c r="D181" s="25">
        <f t="shared" si="2"/>
        <v>0</v>
      </c>
    </row>
    <row r="182" spans="4:4" x14ac:dyDescent="0.35">
      <c r="D182" s="25">
        <f t="shared" si="2"/>
        <v>0</v>
      </c>
    </row>
    <row r="183" spans="4:4" x14ac:dyDescent="0.35">
      <c r="D183" s="25">
        <f t="shared" si="2"/>
        <v>0</v>
      </c>
    </row>
    <row r="184" spans="4:4" x14ac:dyDescent="0.35">
      <c r="D184" s="25">
        <f t="shared" si="2"/>
        <v>0</v>
      </c>
    </row>
    <row r="185" spans="4:4" x14ac:dyDescent="0.35">
      <c r="D185" s="25">
        <f t="shared" si="2"/>
        <v>0</v>
      </c>
    </row>
    <row r="186" spans="4:4" x14ac:dyDescent="0.35">
      <c r="D186" s="25">
        <f t="shared" si="2"/>
        <v>0</v>
      </c>
    </row>
    <row r="187" spans="4:4" x14ac:dyDescent="0.35">
      <c r="D187" s="25">
        <f t="shared" si="2"/>
        <v>0</v>
      </c>
    </row>
    <row r="188" spans="4:4" x14ac:dyDescent="0.35">
      <c r="D188" s="25">
        <f t="shared" si="2"/>
        <v>0</v>
      </c>
    </row>
    <row r="189" spans="4:4" x14ac:dyDescent="0.35">
      <c r="D189" s="25">
        <f t="shared" si="2"/>
        <v>0</v>
      </c>
    </row>
    <row r="190" spans="4:4" x14ac:dyDescent="0.35">
      <c r="D190" s="25">
        <f t="shared" si="2"/>
        <v>0</v>
      </c>
    </row>
    <row r="191" spans="4:4" x14ac:dyDescent="0.35">
      <c r="D191" s="25">
        <f t="shared" si="2"/>
        <v>0</v>
      </c>
    </row>
    <row r="192" spans="4:4" x14ac:dyDescent="0.35">
      <c r="D192" s="25">
        <f t="shared" si="2"/>
        <v>0</v>
      </c>
    </row>
    <row r="193" spans="4:4" x14ac:dyDescent="0.35">
      <c r="D193" s="25">
        <f t="shared" si="2"/>
        <v>0</v>
      </c>
    </row>
    <row r="194" spans="4:4" x14ac:dyDescent="0.35">
      <c r="D194" s="25">
        <f t="shared" si="2"/>
        <v>0</v>
      </c>
    </row>
    <row r="195" spans="4:4" x14ac:dyDescent="0.35">
      <c r="D195" s="25">
        <f t="shared" ref="D195:D258" si="3">B195-C195</f>
        <v>0</v>
      </c>
    </row>
    <row r="196" spans="4:4" x14ac:dyDescent="0.35">
      <c r="D196" s="25">
        <f t="shared" si="3"/>
        <v>0</v>
      </c>
    </row>
    <row r="197" spans="4:4" x14ac:dyDescent="0.35">
      <c r="D197" s="25">
        <f t="shared" si="3"/>
        <v>0</v>
      </c>
    </row>
    <row r="198" spans="4:4" x14ac:dyDescent="0.35">
      <c r="D198" s="25">
        <f t="shared" si="3"/>
        <v>0</v>
      </c>
    </row>
    <row r="199" spans="4:4" x14ac:dyDescent="0.35">
      <c r="D199" s="25">
        <f t="shared" si="3"/>
        <v>0</v>
      </c>
    </row>
    <row r="200" spans="4:4" x14ac:dyDescent="0.35">
      <c r="D200" s="25">
        <f t="shared" si="3"/>
        <v>0</v>
      </c>
    </row>
    <row r="201" spans="4:4" x14ac:dyDescent="0.35">
      <c r="D201" s="25">
        <f t="shared" si="3"/>
        <v>0</v>
      </c>
    </row>
    <row r="202" spans="4:4" x14ac:dyDescent="0.35">
      <c r="D202" s="25">
        <f t="shared" si="3"/>
        <v>0</v>
      </c>
    </row>
    <row r="203" spans="4:4" x14ac:dyDescent="0.35">
      <c r="D203" s="25">
        <f t="shared" si="3"/>
        <v>0</v>
      </c>
    </row>
    <row r="204" spans="4:4" x14ac:dyDescent="0.35">
      <c r="D204" s="25">
        <f t="shared" si="3"/>
        <v>0</v>
      </c>
    </row>
    <row r="205" spans="4:4" x14ac:dyDescent="0.35">
      <c r="D205" s="25">
        <f t="shared" si="3"/>
        <v>0</v>
      </c>
    </row>
    <row r="206" spans="4:4" x14ac:dyDescent="0.35">
      <c r="D206" s="25">
        <f t="shared" si="3"/>
        <v>0</v>
      </c>
    </row>
    <row r="207" spans="4:4" x14ac:dyDescent="0.35">
      <c r="D207" s="25">
        <f t="shared" si="3"/>
        <v>0</v>
      </c>
    </row>
    <row r="208" spans="4:4" x14ac:dyDescent="0.35">
      <c r="D208" s="25">
        <f t="shared" si="3"/>
        <v>0</v>
      </c>
    </row>
    <row r="209" spans="4:4" x14ac:dyDescent="0.35">
      <c r="D209" s="25">
        <f t="shared" si="3"/>
        <v>0</v>
      </c>
    </row>
    <row r="210" spans="4:4" x14ac:dyDescent="0.35">
      <c r="D210" s="25">
        <f t="shared" si="3"/>
        <v>0</v>
      </c>
    </row>
    <row r="211" spans="4:4" x14ac:dyDescent="0.35">
      <c r="D211" s="25">
        <f t="shared" si="3"/>
        <v>0</v>
      </c>
    </row>
    <row r="212" spans="4:4" x14ac:dyDescent="0.35">
      <c r="D212" s="25">
        <f t="shared" si="3"/>
        <v>0</v>
      </c>
    </row>
    <row r="213" spans="4:4" x14ac:dyDescent="0.35">
      <c r="D213" s="25">
        <f t="shared" si="3"/>
        <v>0</v>
      </c>
    </row>
    <row r="214" spans="4:4" x14ac:dyDescent="0.35">
      <c r="D214" s="25">
        <f t="shared" si="3"/>
        <v>0</v>
      </c>
    </row>
    <row r="215" spans="4:4" x14ac:dyDescent="0.35">
      <c r="D215" s="25">
        <f t="shared" si="3"/>
        <v>0</v>
      </c>
    </row>
    <row r="216" spans="4:4" x14ac:dyDescent="0.35">
      <c r="D216" s="25">
        <f t="shared" si="3"/>
        <v>0</v>
      </c>
    </row>
    <row r="217" spans="4:4" x14ac:dyDescent="0.35">
      <c r="D217" s="25">
        <f t="shared" si="3"/>
        <v>0</v>
      </c>
    </row>
    <row r="218" spans="4:4" x14ac:dyDescent="0.35">
      <c r="D218" s="25">
        <f t="shared" si="3"/>
        <v>0</v>
      </c>
    </row>
    <row r="219" spans="4:4" x14ac:dyDescent="0.35">
      <c r="D219" s="25">
        <f t="shared" si="3"/>
        <v>0</v>
      </c>
    </row>
    <row r="220" spans="4:4" x14ac:dyDescent="0.35">
      <c r="D220" s="25">
        <f t="shared" si="3"/>
        <v>0</v>
      </c>
    </row>
    <row r="221" spans="4:4" x14ac:dyDescent="0.35">
      <c r="D221" s="25">
        <f t="shared" si="3"/>
        <v>0</v>
      </c>
    </row>
    <row r="222" spans="4:4" x14ac:dyDescent="0.35">
      <c r="D222" s="25">
        <f t="shared" si="3"/>
        <v>0</v>
      </c>
    </row>
    <row r="223" spans="4:4" x14ac:dyDescent="0.35">
      <c r="D223" s="25">
        <f t="shared" si="3"/>
        <v>0</v>
      </c>
    </row>
    <row r="224" spans="4:4" x14ac:dyDescent="0.35">
      <c r="D224" s="25">
        <f t="shared" si="3"/>
        <v>0</v>
      </c>
    </row>
    <row r="225" spans="4:4" x14ac:dyDescent="0.35">
      <c r="D225" s="25">
        <f t="shared" si="3"/>
        <v>0</v>
      </c>
    </row>
    <row r="226" spans="4:4" x14ac:dyDescent="0.35">
      <c r="D226" s="25">
        <f t="shared" si="3"/>
        <v>0</v>
      </c>
    </row>
    <row r="227" spans="4:4" x14ac:dyDescent="0.35">
      <c r="D227" s="25">
        <f t="shared" si="3"/>
        <v>0</v>
      </c>
    </row>
    <row r="228" spans="4:4" x14ac:dyDescent="0.35">
      <c r="D228" s="25">
        <f t="shared" si="3"/>
        <v>0</v>
      </c>
    </row>
    <row r="229" spans="4:4" x14ac:dyDescent="0.35">
      <c r="D229" s="25">
        <f t="shared" si="3"/>
        <v>0</v>
      </c>
    </row>
    <row r="230" spans="4:4" x14ac:dyDescent="0.35">
      <c r="D230" s="25">
        <f t="shared" si="3"/>
        <v>0</v>
      </c>
    </row>
    <row r="231" spans="4:4" x14ac:dyDescent="0.35">
      <c r="D231" s="25">
        <f t="shared" si="3"/>
        <v>0</v>
      </c>
    </row>
    <row r="232" spans="4:4" x14ac:dyDescent="0.35">
      <c r="D232" s="25">
        <f t="shared" si="3"/>
        <v>0</v>
      </c>
    </row>
    <row r="233" spans="4:4" x14ac:dyDescent="0.35">
      <c r="D233" s="25">
        <f t="shared" si="3"/>
        <v>0</v>
      </c>
    </row>
    <row r="234" spans="4:4" x14ac:dyDescent="0.35">
      <c r="D234" s="25">
        <f t="shared" si="3"/>
        <v>0</v>
      </c>
    </row>
    <row r="235" spans="4:4" x14ac:dyDescent="0.35">
      <c r="D235" s="25">
        <f t="shared" si="3"/>
        <v>0</v>
      </c>
    </row>
    <row r="236" spans="4:4" x14ac:dyDescent="0.35">
      <c r="D236" s="25">
        <f t="shared" si="3"/>
        <v>0</v>
      </c>
    </row>
    <row r="237" spans="4:4" x14ac:dyDescent="0.35">
      <c r="D237" s="25">
        <f t="shared" si="3"/>
        <v>0</v>
      </c>
    </row>
    <row r="238" spans="4:4" x14ac:dyDescent="0.35">
      <c r="D238" s="25">
        <f t="shared" si="3"/>
        <v>0</v>
      </c>
    </row>
    <row r="239" spans="4:4" x14ac:dyDescent="0.35">
      <c r="D239" s="25">
        <f t="shared" si="3"/>
        <v>0</v>
      </c>
    </row>
    <row r="240" spans="4:4" x14ac:dyDescent="0.35">
      <c r="D240" s="25">
        <f t="shared" si="3"/>
        <v>0</v>
      </c>
    </row>
    <row r="241" spans="4:4" x14ac:dyDescent="0.35">
      <c r="D241" s="25">
        <f t="shared" si="3"/>
        <v>0</v>
      </c>
    </row>
    <row r="242" spans="4:4" x14ac:dyDescent="0.35">
      <c r="D242" s="25">
        <f t="shared" si="3"/>
        <v>0</v>
      </c>
    </row>
    <row r="243" spans="4:4" x14ac:dyDescent="0.35">
      <c r="D243" s="25">
        <f t="shared" si="3"/>
        <v>0</v>
      </c>
    </row>
    <row r="244" spans="4:4" x14ac:dyDescent="0.35">
      <c r="D244" s="25">
        <f t="shared" si="3"/>
        <v>0</v>
      </c>
    </row>
    <row r="245" spans="4:4" x14ac:dyDescent="0.35">
      <c r="D245" s="25">
        <f t="shared" si="3"/>
        <v>0</v>
      </c>
    </row>
    <row r="246" spans="4:4" x14ac:dyDescent="0.35">
      <c r="D246" s="25">
        <f t="shared" si="3"/>
        <v>0</v>
      </c>
    </row>
    <row r="247" spans="4:4" x14ac:dyDescent="0.35">
      <c r="D247" s="25">
        <f t="shared" si="3"/>
        <v>0</v>
      </c>
    </row>
    <row r="248" spans="4:4" x14ac:dyDescent="0.35">
      <c r="D248" s="25">
        <f t="shared" si="3"/>
        <v>0</v>
      </c>
    </row>
    <row r="249" spans="4:4" x14ac:dyDescent="0.35">
      <c r="D249" s="25">
        <f t="shared" si="3"/>
        <v>0</v>
      </c>
    </row>
    <row r="250" spans="4:4" x14ac:dyDescent="0.35">
      <c r="D250" s="25">
        <f t="shared" si="3"/>
        <v>0</v>
      </c>
    </row>
    <row r="251" spans="4:4" x14ac:dyDescent="0.35">
      <c r="D251" s="25">
        <f t="shared" si="3"/>
        <v>0</v>
      </c>
    </row>
    <row r="252" spans="4:4" x14ac:dyDescent="0.35">
      <c r="D252" s="25">
        <f t="shared" si="3"/>
        <v>0</v>
      </c>
    </row>
    <row r="253" spans="4:4" x14ac:dyDescent="0.35">
      <c r="D253" s="25">
        <f t="shared" si="3"/>
        <v>0</v>
      </c>
    </row>
    <row r="254" spans="4:4" x14ac:dyDescent="0.35">
      <c r="D254" s="25">
        <f t="shared" si="3"/>
        <v>0</v>
      </c>
    </row>
    <row r="255" spans="4:4" x14ac:dyDescent="0.35">
      <c r="D255" s="25">
        <f t="shared" si="3"/>
        <v>0</v>
      </c>
    </row>
    <row r="256" spans="4:4" x14ac:dyDescent="0.35">
      <c r="D256" s="25">
        <f t="shared" si="3"/>
        <v>0</v>
      </c>
    </row>
    <row r="257" spans="4:4" x14ac:dyDescent="0.35">
      <c r="D257" s="25">
        <f t="shared" si="3"/>
        <v>0</v>
      </c>
    </row>
    <row r="258" spans="4:4" x14ac:dyDescent="0.35">
      <c r="D258" s="25">
        <f t="shared" si="3"/>
        <v>0</v>
      </c>
    </row>
    <row r="259" spans="4:4" x14ac:dyDescent="0.35">
      <c r="D259" s="25">
        <f t="shared" ref="D259:D280" si="4">B259-C259</f>
        <v>0</v>
      </c>
    </row>
    <row r="260" spans="4:4" x14ac:dyDescent="0.35">
      <c r="D260" s="25">
        <f t="shared" si="4"/>
        <v>0</v>
      </c>
    </row>
    <row r="261" spans="4:4" x14ac:dyDescent="0.35">
      <c r="D261" s="25">
        <f t="shared" si="4"/>
        <v>0</v>
      </c>
    </row>
    <row r="262" spans="4:4" x14ac:dyDescent="0.35">
      <c r="D262" s="25">
        <f t="shared" si="4"/>
        <v>0</v>
      </c>
    </row>
    <row r="263" spans="4:4" x14ac:dyDescent="0.35">
      <c r="D263" s="25">
        <f t="shared" si="4"/>
        <v>0</v>
      </c>
    </row>
    <row r="264" spans="4:4" x14ac:dyDescent="0.35">
      <c r="D264" s="25">
        <f t="shared" si="4"/>
        <v>0</v>
      </c>
    </row>
    <row r="265" spans="4:4" x14ac:dyDescent="0.35">
      <c r="D265" s="25">
        <f t="shared" si="4"/>
        <v>0</v>
      </c>
    </row>
    <row r="266" spans="4:4" x14ac:dyDescent="0.35">
      <c r="D266" s="25">
        <f t="shared" si="4"/>
        <v>0</v>
      </c>
    </row>
    <row r="267" spans="4:4" x14ac:dyDescent="0.35">
      <c r="D267" s="25">
        <f t="shared" si="4"/>
        <v>0</v>
      </c>
    </row>
    <row r="268" spans="4:4" x14ac:dyDescent="0.35">
      <c r="D268" s="25">
        <f t="shared" si="4"/>
        <v>0</v>
      </c>
    </row>
    <row r="269" spans="4:4" x14ac:dyDescent="0.35">
      <c r="D269" s="25">
        <f t="shared" si="4"/>
        <v>0</v>
      </c>
    </row>
    <row r="270" spans="4:4" x14ac:dyDescent="0.35">
      <c r="D270" s="25">
        <f t="shared" si="4"/>
        <v>0</v>
      </c>
    </row>
    <row r="271" spans="4:4" x14ac:dyDescent="0.35">
      <c r="D271" s="25">
        <f t="shared" si="4"/>
        <v>0</v>
      </c>
    </row>
    <row r="272" spans="4:4" x14ac:dyDescent="0.35">
      <c r="D272" s="25">
        <f t="shared" si="4"/>
        <v>0</v>
      </c>
    </row>
    <row r="273" spans="4:4" x14ac:dyDescent="0.35">
      <c r="D273" s="25">
        <f t="shared" si="4"/>
        <v>0</v>
      </c>
    </row>
    <row r="274" spans="4:4" x14ac:dyDescent="0.35">
      <c r="D274" s="25">
        <f t="shared" si="4"/>
        <v>0</v>
      </c>
    </row>
    <row r="275" spans="4:4" x14ac:dyDescent="0.35">
      <c r="D275" s="25">
        <f t="shared" si="4"/>
        <v>0</v>
      </c>
    </row>
    <row r="276" spans="4:4" x14ac:dyDescent="0.35">
      <c r="D276" s="25">
        <f t="shared" si="4"/>
        <v>0</v>
      </c>
    </row>
    <row r="277" spans="4:4" x14ac:dyDescent="0.35">
      <c r="D277" s="25">
        <f t="shared" si="4"/>
        <v>0</v>
      </c>
    </row>
    <row r="278" spans="4:4" x14ac:dyDescent="0.35">
      <c r="D278" s="25">
        <f t="shared" si="4"/>
        <v>0</v>
      </c>
    </row>
    <row r="279" spans="4:4" x14ac:dyDescent="0.35">
      <c r="D279" s="25">
        <f t="shared" si="4"/>
        <v>0</v>
      </c>
    </row>
    <row r="280" spans="4:4" x14ac:dyDescent="0.35">
      <c r="D280" s="25">
        <f t="shared" si="4"/>
        <v>0</v>
      </c>
    </row>
  </sheetData>
  <sheetProtection algorithmName="SHA-512" hashValue="52+hSYHNO84ENyPGvlj2LlaFZmzMPOVULxFxDhinpnShVzhfJzpoOyMQpxmhfE5IGGKzn/R/fet4x5rIiRuo7Q==" saltValue="XeBQ0+Q0Q9KhSQQRMBzwOQ==" spinCount="100000" sheet="1" objects="1" scenarios="1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3</vt:i4>
      </vt:variant>
    </vt:vector>
  </HeadingPairs>
  <TitlesOfParts>
    <vt:vector size="7" baseType="lpstr">
      <vt:lpstr>Masalar</vt:lpstr>
      <vt:lpstr>Rapor</vt:lpstr>
      <vt:lpstr>Liste</vt:lpstr>
      <vt:lpstr>Fiyatlar</vt:lpstr>
      <vt:lpstr>Kriter</vt:lpstr>
      <vt:lpstr>MasaListesi</vt:lpstr>
      <vt:lpstr>Masalar!Olcut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2016-11-02T15:31:11Z</dcterms:modified>
</cp:coreProperties>
</file>